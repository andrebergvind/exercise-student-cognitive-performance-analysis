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working_data" sheetId="2" r:id="rId6"/>
    <sheet state="visible" name="clean_data" sheetId="3" r:id="rId7"/>
    <sheet state="visible" name="clean_exercise_type" sheetId="4" r:id="rId8"/>
    <sheet state="visible" name="descriptive_statistics" sheetId="5" r:id="rId9"/>
  </sheets>
  <definedNames>
    <definedName hidden="1" localSheetId="0" name="_xlnm._FilterDatabase">raw_data!$A$1:$Z$52</definedName>
    <definedName hidden="1" localSheetId="1" name="_xlnm._FilterDatabase">working_data!$A$1:$AL$52</definedName>
    <definedName hidden="1" localSheetId="2" name="_xlnm._FilterDatabase">clean_data!$A$1:$R$52</definedName>
    <definedName hidden="1" localSheetId="3" name="_xlnm._FilterDatabase">clean_exercise_type!$A$1:$B$137</definedName>
  </definedNames>
  <calcPr/>
</workbook>
</file>

<file path=xl/sharedStrings.xml><?xml version="1.0" encoding="utf-8"?>
<sst xmlns="http://schemas.openxmlformats.org/spreadsheetml/2006/main" count="1244" uniqueCount="129">
  <si>
    <t>Timestamp</t>
  </si>
  <si>
    <t>My age is:</t>
  </si>
  <si>
    <t>My gender is:</t>
  </si>
  <si>
    <t>I am currently studying in the following program/field of study:</t>
  </si>
  <si>
    <t>On average, I exercise ... times per week:</t>
  </si>
  <si>
    <t>On average, I spend ... hours exercising per week:</t>
  </si>
  <si>
    <t xml:space="preserve">The type/types of physical activities I do most often is (check all that apply): </t>
  </si>
  <si>
    <t>The usual intensity of my exercise is:</t>
  </si>
  <si>
    <t>Physical exercise improves my attention span</t>
  </si>
  <si>
    <t>After exercise, I find it easier to focus on academic tasks</t>
  </si>
  <si>
    <t>Physical exercise increases my willingness to study</t>
  </si>
  <si>
    <t xml:space="preserve">I feel more motivated to complete academic tasks after exercising </t>
  </si>
  <si>
    <t xml:space="preserve">I feel generally less stress after exercising </t>
  </si>
  <si>
    <t xml:space="preserve">The stress relief I gain from exercising improves my overall academic productivity </t>
  </si>
  <si>
    <t xml:space="preserve">I feel more mentally energetic after exercising </t>
  </si>
  <si>
    <t xml:space="preserve">I feel more physically energetic after exercising </t>
  </si>
  <si>
    <t xml:space="preserve">Physical exercise improves my overall mood, which benefits my academic work </t>
  </si>
  <si>
    <t xml:space="preserve">Exercise boosts my sense of wellbeing during study periods </t>
  </si>
  <si>
    <t xml:space="preserve">I am certain that I can achieve higher academic productivity after exercising than before </t>
  </si>
  <si>
    <t>I perform better on academic tasks immediately after exercising</t>
  </si>
  <si>
    <t xml:space="preserve">I often exercise with the intent of improving my academic performance </t>
  </si>
  <si>
    <t xml:space="preserve">I engage in physical activity in order to feel more prepared for studying </t>
  </si>
  <si>
    <t>One reason I exercise is to relieve stress before focusing on academic tasks</t>
  </si>
  <si>
    <t xml:space="preserve">Physical exercise has a positive influence on my overall academic success </t>
  </si>
  <si>
    <t>Exercise is an important tool for balancing my studies and well-being</t>
  </si>
  <si>
    <t>Without exercise, I would find It more difficult to stay productive academically</t>
  </si>
  <si>
    <t>21-23</t>
  </si>
  <si>
    <t>Male</t>
  </si>
  <si>
    <t>Business/Economics</t>
  </si>
  <si>
    <t>Daily</t>
  </si>
  <si>
    <t>10 or more</t>
  </si>
  <si>
    <t>Cardio, Weightlifting, Team or ball sports, Calisthenics, Outdoor activities (hiking, climbing, etc.)</t>
  </si>
  <si>
    <t>Vigorous</t>
  </si>
  <si>
    <t>Female</t>
  </si>
  <si>
    <t>3-4</t>
  </si>
  <si>
    <t>4-6</t>
  </si>
  <si>
    <t>Cardio, Weightlifting, Outdoor activities (hiking, climbing, etc.), Yoga/Pilates, Gym classes/Group workouts</t>
  </si>
  <si>
    <t>Moderate</t>
  </si>
  <si>
    <t>Sports/Physical Education</t>
  </si>
  <si>
    <t>1-3</t>
  </si>
  <si>
    <t>Cardio, Weightlifting, Boxing</t>
  </si>
  <si>
    <t>7-9</t>
  </si>
  <si>
    <t>Cardio, Weightlifting, Team or ball sports</t>
  </si>
  <si>
    <t>Weightlifting, Team or ball sports</t>
  </si>
  <si>
    <t>Social Sciences (Psychology, Sociology, etc.)</t>
  </si>
  <si>
    <t>1-2</t>
  </si>
  <si>
    <t>Cardio, Weightlifting, Gym classes/Group workouts</t>
  </si>
  <si>
    <t>Cardio, Weightlifting, Team or ball sports, Calisthenics, Gym classes/Group workouts</t>
  </si>
  <si>
    <t>24-26</t>
  </si>
  <si>
    <t>Cardio, Team or ball sports</t>
  </si>
  <si>
    <t>Cardio, Outdoor activities (hiking, climbing, etc.), Yoga/Pilates</t>
  </si>
  <si>
    <t>Weightlifting</t>
  </si>
  <si>
    <t>5-6</t>
  </si>
  <si>
    <t>Cardio, Weightlifting, Yoga/Pilates, Gym classes/Group workouts</t>
  </si>
  <si>
    <t>Business and psychology</t>
  </si>
  <si>
    <t>Engineering/Technology</t>
  </si>
  <si>
    <t>Weightlifting, Dancing</t>
  </si>
  <si>
    <t>Cardio, Weightlifting</t>
  </si>
  <si>
    <t>Cardio, Weightlifting, Calisthenics</t>
  </si>
  <si>
    <t>27+</t>
  </si>
  <si>
    <t>Cardio, Calisthenics, Outdoor activities (hiking, climbing, etc.)</t>
  </si>
  <si>
    <t>Health Sciences (Medicine, Nursing, Public Health, etc.)</t>
  </si>
  <si>
    <t xml:space="preserve">Gym classes/Group workouts, JAMBOX </t>
  </si>
  <si>
    <t>Weightlifting, Team or ball sports, Yoga/Pilates</t>
  </si>
  <si>
    <t>Law</t>
  </si>
  <si>
    <t>18-20</t>
  </si>
  <si>
    <t>Cardio, Weightlifting, Outdoor activities (hiking, climbing, etc.)</t>
  </si>
  <si>
    <t>Cardio, Weightlifting, Team or ball sports, Outdoor activities (hiking, climbing, etc.), Yoga/Pilates</t>
  </si>
  <si>
    <t>Cardio, Team or ball sports, Calisthenics</t>
  </si>
  <si>
    <t>Outdoor activities (hiking, climbing, etc.), Yoga/Pilates</t>
  </si>
  <si>
    <t>Low</t>
  </si>
  <si>
    <t>Team or ball sports</t>
  </si>
  <si>
    <t>Architecture</t>
  </si>
  <si>
    <t>Cardio, Surfing</t>
  </si>
  <si>
    <t>Golf</t>
  </si>
  <si>
    <t xml:space="preserve">Calisthenics, Gym classes/Group workouts, </t>
  </si>
  <si>
    <t>economics &amp; commercial law</t>
  </si>
  <si>
    <t>Cardio</t>
  </si>
  <si>
    <t>Weightlifting, Yoga/Pilates</t>
  </si>
  <si>
    <t>Cardio, Weightlifting, Team or ball sports, Calisthenics, Outdoor activities (hiking, climbing, etc.), Yoga/Pilates</t>
  </si>
  <si>
    <t>Team or ball sports, Gym classes/Group workouts</t>
  </si>
  <si>
    <t>Weightlifting, Calisthenics, Boxing</t>
  </si>
  <si>
    <t>Weightlifting, Swimming</t>
  </si>
  <si>
    <t>Weightlifting, Calisthenics</t>
  </si>
  <si>
    <t>Column 38</t>
  </si>
  <si>
    <t>age_midpoint</t>
  </si>
  <si>
    <t>exercise_days_midpoint</t>
  </si>
  <si>
    <t>exercise_hours_midpoint</t>
  </si>
  <si>
    <t>focus_score</t>
  </si>
  <si>
    <t>motivation_score</t>
  </si>
  <si>
    <t>stress_score</t>
  </si>
  <si>
    <t>energy_score</t>
  </si>
  <si>
    <t>mood_score</t>
  </si>
  <si>
    <t>productivity_score</t>
  </si>
  <si>
    <t>motives_score</t>
  </si>
  <si>
    <t>generalimpact_score</t>
  </si>
  <si>
    <t>10+</t>
  </si>
  <si>
    <t>respondent_id</t>
  </si>
  <si>
    <t>age_group</t>
  </si>
  <si>
    <t>gender</t>
  </si>
  <si>
    <t>degree_pursued</t>
  </si>
  <si>
    <t>exercise_days_group</t>
  </si>
  <si>
    <t>exercise_hours_group</t>
  </si>
  <si>
    <t>intensity</t>
  </si>
  <si>
    <t>Focus Score</t>
  </si>
  <si>
    <t>Motivation Score</t>
  </si>
  <si>
    <t>Stress Score</t>
  </si>
  <si>
    <t>Energy Score</t>
  </si>
  <si>
    <t>Mood Score</t>
  </si>
  <si>
    <t>Productivity Score</t>
  </si>
  <si>
    <t>Motives Score</t>
  </si>
  <si>
    <t>General Impact Score</t>
  </si>
  <si>
    <t/>
  </si>
  <si>
    <t>exercise_type</t>
  </si>
  <si>
    <t>Calisthenics</t>
  </si>
  <si>
    <t>Outdoor activities</t>
  </si>
  <si>
    <t>Yoga/Pilates</t>
  </si>
  <si>
    <t>Gym classes/Group workouts</t>
  </si>
  <si>
    <t>Boxing</t>
  </si>
  <si>
    <t>Dancing</t>
  </si>
  <si>
    <t>JAMBOX</t>
  </si>
  <si>
    <t>Surfing</t>
  </si>
  <si>
    <t>Swimming</t>
  </si>
  <si>
    <t>Combined Score</t>
  </si>
  <si>
    <t>Mean</t>
  </si>
  <si>
    <t>Median</t>
  </si>
  <si>
    <t>Min</t>
  </si>
  <si>
    <t>Max</t>
  </si>
  <si>
    <t>Std 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</si>
</sst>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-m"/>
    <numFmt numFmtId="166" formatCode="0.000"/>
    <numFmt numFmtId="167" formatCode="dd/MM/yyyy"/>
    <numFmt numFmtId="168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66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Font="1" applyNumberFormat="1"/>
    <xf borderId="0" fillId="0" fontId="1" numFmtId="49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168" xfId="0" applyFont="1" applyNumberFormat="1"/>
    <xf borderId="0" fillId="0" fontId="2" numFmtId="167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3" numFmtId="0" xfId="0" applyAlignment="1" applyBorder="1" applyFill="1" applyFont="1">
      <alignment readingOrder="0"/>
    </xf>
    <xf borderId="2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2" xfId="0" applyFont="1" applyNumberFormat="1"/>
    <xf borderId="0" fillId="0" fontId="4" numFmtId="168" xfId="0" applyFont="1" applyNumberFormat="1"/>
    <xf borderId="5" fillId="0" fontId="4" numFmtId="166" xfId="0" applyBorder="1" applyFont="1" applyNumberFormat="1"/>
    <xf borderId="6" fillId="0" fontId="4" numFmtId="0" xfId="0" applyAlignment="1" applyBorder="1" applyFont="1">
      <alignment readingOrder="0"/>
    </xf>
    <xf borderId="7" fillId="0" fontId="4" numFmtId="2" xfId="0" applyBorder="1" applyFont="1" applyNumberFormat="1"/>
    <xf borderId="7" fillId="0" fontId="4" numFmtId="168" xfId="0" applyBorder="1" applyFont="1" applyNumberFormat="1"/>
    <xf borderId="8" fillId="0" fontId="4" numFmtId="166" xfId="0" applyBorder="1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8761D"/>
        </left>
        <right style="thin">
          <color rgb="FF38761D"/>
        </right>
        <top style="thin">
          <color rgb="FF38761D"/>
        </top>
        <bottom style="thin">
          <color rgb="FF38761D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5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ing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lean_data-style 2">
      <tableStyleElement dxfId="2" type="firstRowStripe"/>
      <tableStyleElement dxfId="5" type="secondRowStripe"/>
    </tableStyle>
    <tableStyle count="4" pivot="0" name="clean_exercise_typ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52" displayName="raw_workout_data" name="raw_workout_data" id="1">
  <autoFilter ref="$A$1:$Z$52"/>
  <tableColumns count="26">
    <tableColumn name="Timestamp" id="1"/>
    <tableColumn name="My age is:" id="2"/>
    <tableColumn name="My gender is:" id="3"/>
    <tableColumn name="I am currently studying in the following program/field of study:" id="4"/>
    <tableColumn name="On average, I exercise ... times per week:" id="5"/>
    <tableColumn name="On average, I spend ... hours exercising per week:" id="6"/>
    <tableColumn name="The type/types of physical activities I do most often is (check all that apply): " id="7"/>
    <tableColumn name="The usual intensity of my exercise is:" id="8"/>
    <tableColumn name="Physical exercise improves my attention span" id="9"/>
    <tableColumn name="After exercise, I find it easier to focus on academic tasks" id="10"/>
    <tableColumn name="Physical exercise increases my willingness to study" id="11"/>
    <tableColumn name="I feel more motivated to complete academic tasks after exercising " id="12"/>
    <tableColumn name="I feel generally less stress after exercising " id="13"/>
    <tableColumn name="The stress relief I gain from exercising improves my overall academic productivity " id="14"/>
    <tableColumn name="I feel more mentally energetic after exercising " id="15"/>
    <tableColumn name="I feel more physically energetic after exercising " id="16"/>
    <tableColumn name="Physical exercise improves my overall mood, which benefits my academic work " id="17"/>
    <tableColumn name="Exercise boosts my sense of wellbeing during study periods " id="18"/>
    <tableColumn name="I am certain that I can achieve higher academic productivity after exercising than before " id="19"/>
    <tableColumn name="I perform better on academic tasks immediately after exercising" id="20"/>
    <tableColumn name="I often exercise with the intent of improving my academic performance " id="21"/>
    <tableColumn name="I engage in physical activity in order to feel more prepared for studying " id="22"/>
    <tableColumn name="One reason I exercise is to relieve stress before focusing on academic tasks" id="23"/>
    <tableColumn name="Physical exercise has a positive influence on my overall academic success " id="24"/>
    <tableColumn name="Exercise is an important tool for balancing my studies and well-being" id="25"/>
    <tableColumn name="Without exercise, I would find It more difficult to stay productive academically" id="26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1:AL52" displayName="working_workout_data" name="working_workout_data" id="2">
  <autoFilter ref="$A$1:$AL$52"/>
  <tableColumns count="38">
    <tableColumn name="Column 38" id="1"/>
    <tableColumn name="Timestamp" id="2"/>
    <tableColumn name="My age is:" id="3"/>
    <tableColumn name="age_midpoint" id="4"/>
    <tableColumn name="My gender is:" id="5"/>
    <tableColumn name="I am currently studying in the following program/field of study:" id="6"/>
    <tableColumn name="On average, I exercise ... times per week:" id="7"/>
    <tableColumn name="exercise_days_midpoint" id="8"/>
    <tableColumn name="On average, I spend ... hours exercising per week:" id="9"/>
    <tableColumn name="exercise_hours_midpoint" id="10"/>
    <tableColumn name="The type/types of physical activities I do most often is (check all that apply): " id="11"/>
    <tableColumn name="The usual intensity of my exercise is:" id="12"/>
    <tableColumn name="Physical exercise improves my attention span" id="13"/>
    <tableColumn name="After exercise, I find it easier to focus on academic tasks" id="14"/>
    <tableColumn name="Physical exercise increases my willingness to study" id="15"/>
    <tableColumn name="I feel more motivated to complete academic tasks after exercising " id="16"/>
    <tableColumn name="I feel generally less stress after exercising " id="17"/>
    <tableColumn name="The stress relief I gain from exercising improves my overall academic productivity " id="18"/>
    <tableColumn name="I feel more mentally energetic after exercising " id="19"/>
    <tableColumn name="I feel more physically energetic after exercising " id="20"/>
    <tableColumn name="Physical exercise improves my overall mood, which benefits my academic work " id="21"/>
    <tableColumn name="Exercise boosts my sense of wellbeing during study periods " id="22"/>
    <tableColumn name="I am certain that I can achieve higher academic productivity after exercising than before " id="23"/>
    <tableColumn name="I perform better on academic tasks immediately after exercising" id="24"/>
    <tableColumn name="I often exercise with the intent of improving my academic performance " id="25"/>
    <tableColumn name="I engage in physical activity in order to feel more prepared for studying " id="26"/>
    <tableColumn name="One reason I exercise is to relieve stress before focusing on academic tasks" id="27"/>
    <tableColumn name="Physical exercise has a positive influence on my overall academic success " id="28"/>
    <tableColumn name="Exercise is an important tool for balancing my studies and well-being" id="29"/>
    <tableColumn name="Without exercise, I would find It more difficult to stay productive academically" id="30"/>
    <tableColumn name="focus_score" id="31"/>
    <tableColumn name="motivation_score" id="32"/>
    <tableColumn name="stress_score" id="33"/>
    <tableColumn name="energy_score" id="34"/>
    <tableColumn name="mood_score" id="35"/>
    <tableColumn name="productivity_score" id="36"/>
    <tableColumn name="motives_score" id="37"/>
    <tableColumn name="generalimpact_score" id="38"/>
  </tableColumns>
  <tableStyleInfo name="working_data-style" showColumnStripes="0" showFirstColumn="1" showLastColumn="1" showRowStripes="1"/>
</table>
</file>

<file path=xl/tables/table3.xml><?xml version="1.0" encoding="utf-8"?>
<table xmlns="http://schemas.openxmlformats.org/spreadsheetml/2006/main" ref="A1:R52" displayName="clean_workout_data" name="clean_workout_data" id="3">
  <autoFilter ref="$A$1:$R$52"/>
  <tableColumns count="18">
    <tableColumn name="respondent_id" id="1"/>
    <tableColumn name="age_group" id="2"/>
    <tableColumn name="age_midpoint" id="3"/>
    <tableColumn name="gender" id="4"/>
    <tableColumn name="degree_pursued" id="5"/>
    <tableColumn name="exercise_days_group" id="6"/>
    <tableColumn name="exercise_days_midpoint" id="7"/>
    <tableColumn name="exercise_hours_group" id="8"/>
    <tableColumn name="exercise_hours_midpoint" id="9"/>
    <tableColumn name="intensity" id="10"/>
    <tableColumn name="Focus Score" id="11"/>
    <tableColumn name="Motivation Score" id="12"/>
    <tableColumn name="Stress Score" id="13"/>
    <tableColumn name="Energy Score" id="14"/>
    <tableColumn name="Mood Score" id="15"/>
    <tableColumn name="Productivity Score" id="16"/>
    <tableColumn name="Motives Score" id="17"/>
    <tableColumn name="General Impact Score" id="18"/>
  </tableColumns>
  <tableStyleInfo name="clean_data-style" showColumnStripes="0" showFirstColumn="1" showLastColumn="1" showRowStripes="1"/>
</table>
</file>

<file path=xl/tables/table4.xml><?xml version="1.0" encoding="utf-8"?>
<table xmlns="http://schemas.openxmlformats.org/spreadsheetml/2006/main" headerRowCount="0" ref="M67:N117" displayName="Table_1" name="Table_1" id="4">
  <tableColumns count="2">
    <tableColumn name="Column1" id="1"/>
    <tableColumn name="Column2" id="2"/>
  </tableColumns>
  <tableStyleInfo name="clean_data-style 2" showColumnStripes="0" showFirstColumn="1" showLastColumn="1" showRowStripes="1"/>
</table>
</file>

<file path=xl/tables/table5.xml><?xml version="1.0" encoding="utf-8"?>
<table xmlns="http://schemas.openxmlformats.org/spreadsheetml/2006/main" ref="A1:B137" displayName="clean_exercise_type" name="clean_exercise_type" id="5">
  <autoFilter ref="$A$1:$B$137"/>
  <tableColumns count="2">
    <tableColumn name="respondent_id" id="1"/>
    <tableColumn name="exercise_type" id="2"/>
  </tableColumns>
  <tableStyleInfo name="clean_exercise_ty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0"/>
    <col customWidth="1" min="3" max="3" width="17.38"/>
    <col customWidth="1" min="4" max="4" width="10.88"/>
    <col customWidth="1" min="5" max="5" width="10.63"/>
    <col customWidth="1" min="6" max="6" width="10.88"/>
    <col customWidth="1" min="7" max="7" width="42.0"/>
    <col customWidth="1" min="8" max="8" width="12.88"/>
    <col customWidth="1" min="9" max="12" width="37.63"/>
    <col customWidth="1" min="13" max="13" width="36.0"/>
    <col customWidth="1" min="14" max="26" width="37.63"/>
    <col customWidth="1" min="27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45929.44278545139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>
        <v>4.0</v>
      </c>
      <c r="J2" s="3">
        <v>4.0</v>
      </c>
      <c r="K2" s="3">
        <v>4.0</v>
      </c>
      <c r="L2" s="3">
        <v>4.0</v>
      </c>
      <c r="M2" s="3">
        <v>5.0</v>
      </c>
      <c r="N2" s="3">
        <v>4.0</v>
      </c>
      <c r="O2" s="3">
        <v>5.0</v>
      </c>
      <c r="P2" s="3">
        <v>5.0</v>
      </c>
      <c r="Q2" s="3">
        <v>5.0</v>
      </c>
      <c r="R2" s="3">
        <v>4.0</v>
      </c>
      <c r="S2" s="3">
        <v>4.0</v>
      </c>
      <c r="T2" s="3">
        <v>4.0</v>
      </c>
      <c r="U2" s="3">
        <v>4.0</v>
      </c>
      <c r="V2" s="3">
        <v>3.0</v>
      </c>
      <c r="W2" s="3">
        <v>3.0</v>
      </c>
      <c r="X2" s="3">
        <v>4.0</v>
      </c>
      <c r="Y2" s="3">
        <v>5.0</v>
      </c>
      <c r="Z2" s="3">
        <v>4.0</v>
      </c>
    </row>
    <row r="3" ht="22.5" customHeight="1">
      <c r="A3" s="4">
        <v>45929.443269270836</v>
      </c>
      <c r="B3" s="5" t="s">
        <v>26</v>
      </c>
      <c r="C3" s="5" t="s">
        <v>33</v>
      </c>
      <c r="D3" s="5" t="s">
        <v>28</v>
      </c>
      <c r="E3" s="6" t="s">
        <v>34</v>
      </c>
      <c r="F3" s="6" t="s">
        <v>35</v>
      </c>
      <c r="G3" s="5" t="s">
        <v>36</v>
      </c>
      <c r="H3" s="5" t="s">
        <v>37</v>
      </c>
      <c r="I3" s="5">
        <v>4.0</v>
      </c>
      <c r="J3" s="5">
        <v>3.0</v>
      </c>
      <c r="K3" s="5">
        <v>5.0</v>
      </c>
      <c r="L3" s="5">
        <v>5.0</v>
      </c>
      <c r="M3" s="5">
        <v>3.0</v>
      </c>
      <c r="N3" s="5">
        <v>4.0</v>
      </c>
      <c r="O3" s="5">
        <v>4.0</v>
      </c>
      <c r="P3" s="5">
        <v>5.0</v>
      </c>
      <c r="Q3" s="5">
        <v>5.0</v>
      </c>
      <c r="R3" s="5">
        <v>4.0</v>
      </c>
      <c r="S3" s="5">
        <v>4.0</v>
      </c>
      <c r="T3" s="5">
        <v>4.0</v>
      </c>
      <c r="U3" s="5">
        <v>1.0</v>
      </c>
      <c r="V3" s="5">
        <v>1.0</v>
      </c>
      <c r="W3" s="5">
        <v>2.0</v>
      </c>
      <c r="X3" s="5">
        <v>3.0</v>
      </c>
      <c r="Y3" s="5">
        <v>5.0</v>
      </c>
      <c r="Z3" s="5">
        <v>4.0</v>
      </c>
    </row>
    <row r="4" ht="22.5" customHeight="1">
      <c r="A4" s="4">
        <v>45929.52164965278</v>
      </c>
      <c r="B4" s="5" t="s">
        <v>26</v>
      </c>
      <c r="C4" s="5" t="s">
        <v>27</v>
      </c>
      <c r="D4" s="5" t="s">
        <v>38</v>
      </c>
      <c r="E4" s="6" t="s">
        <v>34</v>
      </c>
      <c r="F4" s="6" t="s">
        <v>39</v>
      </c>
      <c r="G4" s="5" t="s">
        <v>40</v>
      </c>
      <c r="H4" s="5" t="s">
        <v>32</v>
      </c>
      <c r="I4" s="5">
        <v>4.0</v>
      </c>
      <c r="J4" s="5">
        <v>2.0</v>
      </c>
      <c r="K4" s="5">
        <v>3.0</v>
      </c>
      <c r="L4" s="5">
        <v>3.0</v>
      </c>
      <c r="M4" s="5">
        <v>4.0</v>
      </c>
      <c r="N4" s="5">
        <v>3.0</v>
      </c>
      <c r="O4" s="5">
        <v>3.0</v>
      </c>
      <c r="P4" s="5">
        <v>2.0</v>
      </c>
      <c r="Q4" s="5">
        <v>5.0</v>
      </c>
      <c r="R4" s="5">
        <v>5.0</v>
      </c>
      <c r="S4" s="5">
        <v>4.0</v>
      </c>
      <c r="T4" s="5">
        <v>2.0</v>
      </c>
      <c r="U4" s="5">
        <v>2.0</v>
      </c>
      <c r="V4" s="5">
        <v>2.0</v>
      </c>
      <c r="W4" s="5">
        <v>4.0</v>
      </c>
      <c r="X4" s="5">
        <v>4.0</v>
      </c>
      <c r="Y4" s="5">
        <v>4.0</v>
      </c>
      <c r="Z4" s="5">
        <v>4.0</v>
      </c>
    </row>
    <row r="5" ht="22.5" customHeight="1">
      <c r="A5" s="4">
        <v>45929.68375810185</v>
      </c>
      <c r="B5" s="5" t="s">
        <v>26</v>
      </c>
      <c r="C5" s="5" t="s">
        <v>27</v>
      </c>
      <c r="D5" s="5" t="s">
        <v>28</v>
      </c>
      <c r="E5" s="6" t="s">
        <v>34</v>
      </c>
      <c r="F5" s="6" t="s">
        <v>41</v>
      </c>
      <c r="G5" s="5" t="s">
        <v>42</v>
      </c>
      <c r="H5" s="5" t="s">
        <v>37</v>
      </c>
      <c r="I5" s="5">
        <v>4.0</v>
      </c>
      <c r="J5" s="5">
        <v>4.0</v>
      </c>
      <c r="K5" s="5">
        <v>3.0</v>
      </c>
      <c r="L5" s="5">
        <v>4.0</v>
      </c>
      <c r="M5" s="5">
        <v>4.0</v>
      </c>
      <c r="N5" s="5">
        <v>3.0</v>
      </c>
      <c r="O5" s="5">
        <v>4.0</v>
      </c>
      <c r="P5" s="5">
        <v>5.0</v>
      </c>
      <c r="Q5" s="5">
        <v>4.0</v>
      </c>
      <c r="R5" s="5">
        <v>4.0</v>
      </c>
      <c r="S5" s="5">
        <v>4.0</v>
      </c>
      <c r="T5" s="5">
        <v>4.0</v>
      </c>
      <c r="U5" s="5">
        <v>3.0</v>
      </c>
      <c r="V5" s="5">
        <v>3.0</v>
      </c>
      <c r="W5" s="5">
        <v>4.0</v>
      </c>
      <c r="X5" s="5">
        <v>3.0</v>
      </c>
      <c r="Y5" s="5">
        <v>4.0</v>
      </c>
      <c r="Z5" s="5">
        <v>4.0</v>
      </c>
    </row>
    <row r="6" ht="22.5" customHeight="1">
      <c r="A6" s="4">
        <v>45929.68381984954</v>
      </c>
      <c r="B6" s="5" t="s">
        <v>26</v>
      </c>
      <c r="C6" s="5" t="s">
        <v>33</v>
      </c>
      <c r="D6" s="5" t="s">
        <v>28</v>
      </c>
      <c r="E6" s="6" t="s">
        <v>34</v>
      </c>
      <c r="F6" s="6" t="s">
        <v>35</v>
      </c>
      <c r="G6" s="5" t="s">
        <v>43</v>
      </c>
      <c r="H6" s="5" t="s">
        <v>32</v>
      </c>
      <c r="I6" s="5">
        <v>4.0</v>
      </c>
      <c r="J6" s="5">
        <v>4.0</v>
      </c>
      <c r="K6" s="5">
        <v>4.0</v>
      </c>
      <c r="L6" s="5">
        <v>3.0</v>
      </c>
      <c r="M6" s="5">
        <v>5.0</v>
      </c>
      <c r="N6" s="5">
        <v>4.0</v>
      </c>
      <c r="O6" s="5">
        <v>5.0</v>
      </c>
      <c r="P6" s="5">
        <v>5.0</v>
      </c>
      <c r="Q6" s="5">
        <v>5.0</v>
      </c>
      <c r="R6" s="5">
        <v>5.0</v>
      </c>
      <c r="S6" s="5">
        <v>4.0</v>
      </c>
      <c r="T6" s="5">
        <v>4.0</v>
      </c>
      <c r="U6" s="5">
        <v>4.0</v>
      </c>
      <c r="V6" s="5">
        <v>4.0</v>
      </c>
      <c r="W6" s="5">
        <v>4.0</v>
      </c>
      <c r="X6" s="5">
        <v>4.0</v>
      </c>
      <c r="Y6" s="5">
        <v>4.0</v>
      </c>
    </row>
    <row r="7" ht="22.5" customHeight="1">
      <c r="A7" s="4">
        <v>45929.684381342595</v>
      </c>
      <c r="B7" s="5" t="s">
        <v>26</v>
      </c>
      <c r="C7" s="5" t="s">
        <v>33</v>
      </c>
      <c r="D7" s="5" t="s">
        <v>44</v>
      </c>
      <c r="E7" s="6" t="s">
        <v>45</v>
      </c>
      <c r="F7" s="6" t="s">
        <v>35</v>
      </c>
      <c r="G7" s="5" t="s">
        <v>46</v>
      </c>
      <c r="H7" s="5" t="s">
        <v>32</v>
      </c>
      <c r="I7" s="5">
        <v>5.0</v>
      </c>
      <c r="J7" s="5">
        <v>4.0</v>
      </c>
      <c r="K7" s="5">
        <v>3.0</v>
      </c>
      <c r="L7" s="5">
        <v>4.0</v>
      </c>
      <c r="M7" s="5">
        <v>5.0</v>
      </c>
      <c r="N7" s="5">
        <v>4.0</v>
      </c>
      <c r="O7" s="5">
        <v>5.0</v>
      </c>
      <c r="P7" s="5">
        <v>2.0</v>
      </c>
      <c r="Q7" s="5">
        <v>5.0</v>
      </c>
      <c r="R7" s="5">
        <v>5.0</v>
      </c>
      <c r="S7" s="5">
        <v>4.0</v>
      </c>
      <c r="T7" s="5">
        <v>4.0</v>
      </c>
      <c r="U7" s="5">
        <v>4.0</v>
      </c>
      <c r="V7" s="5">
        <v>4.0</v>
      </c>
      <c r="W7" s="5">
        <v>3.0</v>
      </c>
      <c r="X7" s="5">
        <v>3.0</v>
      </c>
      <c r="Y7" s="5">
        <v>5.0</v>
      </c>
      <c r="Z7" s="5">
        <v>4.0</v>
      </c>
    </row>
    <row r="8" ht="22.5" customHeight="1">
      <c r="A8" s="4">
        <v>45929.68454797454</v>
      </c>
      <c r="B8" s="5" t="s">
        <v>26</v>
      </c>
      <c r="C8" s="5" t="s">
        <v>27</v>
      </c>
      <c r="D8" s="5" t="s">
        <v>28</v>
      </c>
      <c r="E8" s="6" t="s">
        <v>45</v>
      </c>
      <c r="F8" s="6" t="s">
        <v>39</v>
      </c>
      <c r="G8" s="5" t="s">
        <v>47</v>
      </c>
      <c r="H8" s="5" t="s">
        <v>37</v>
      </c>
      <c r="I8" s="5">
        <v>5.0</v>
      </c>
      <c r="J8" s="5">
        <v>4.0</v>
      </c>
      <c r="K8" s="5">
        <v>4.0</v>
      </c>
      <c r="L8" s="5">
        <v>5.0</v>
      </c>
      <c r="M8" s="5">
        <v>5.0</v>
      </c>
      <c r="N8" s="5">
        <v>4.0</v>
      </c>
      <c r="O8" s="5">
        <v>5.0</v>
      </c>
      <c r="P8" s="5">
        <v>5.0</v>
      </c>
      <c r="Q8" s="5">
        <v>5.0</v>
      </c>
      <c r="R8" s="5">
        <v>5.0</v>
      </c>
      <c r="S8" s="5">
        <v>5.0</v>
      </c>
      <c r="T8" s="5">
        <v>4.0</v>
      </c>
      <c r="U8" s="5">
        <v>3.0</v>
      </c>
      <c r="V8" s="5">
        <v>2.0</v>
      </c>
      <c r="W8" s="5">
        <v>2.0</v>
      </c>
      <c r="X8" s="5">
        <v>4.0</v>
      </c>
      <c r="Y8" s="5">
        <v>5.0</v>
      </c>
      <c r="Z8" s="5">
        <v>3.0</v>
      </c>
    </row>
    <row r="9" ht="22.5" customHeight="1">
      <c r="A9" s="4">
        <v>45929.6846371412</v>
      </c>
      <c r="B9" s="5" t="s">
        <v>48</v>
      </c>
      <c r="C9" s="5" t="s">
        <v>27</v>
      </c>
      <c r="D9" s="5" t="s">
        <v>28</v>
      </c>
      <c r="E9" s="6" t="s">
        <v>45</v>
      </c>
      <c r="F9" s="6" t="s">
        <v>39</v>
      </c>
      <c r="G9" s="5" t="s">
        <v>49</v>
      </c>
      <c r="H9" s="5" t="s">
        <v>37</v>
      </c>
      <c r="I9" s="5">
        <v>4.0</v>
      </c>
      <c r="J9" s="5">
        <v>4.0</v>
      </c>
      <c r="K9" s="5">
        <v>4.0</v>
      </c>
      <c r="L9" s="5">
        <v>4.0</v>
      </c>
      <c r="M9" s="5">
        <v>5.0</v>
      </c>
      <c r="N9" s="5">
        <v>3.0</v>
      </c>
      <c r="O9" s="5">
        <v>4.0</v>
      </c>
      <c r="P9" s="5">
        <v>5.0</v>
      </c>
      <c r="Q9" s="5">
        <v>3.0</v>
      </c>
      <c r="R9" s="5">
        <v>4.0</v>
      </c>
      <c r="S9" s="5">
        <v>3.0</v>
      </c>
      <c r="T9" s="5">
        <v>3.0</v>
      </c>
      <c r="U9" s="5">
        <v>1.0</v>
      </c>
      <c r="V9" s="5">
        <v>1.0</v>
      </c>
      <c r="W9" s="5">
        <v>1.0</v>
      </c>
      <c r="X9" s="5">
        <v>3.0</v>
      </c>
      <c r="Y9" s="5">
        <v>5.0</v>
      </c>
      <c r="Z9" s="5">
        <v>4.0</v>
      </c>
    </row>
    <row r="10" ht="22.5" customHeight="1">
      <c r="A10" s="4">
        <v>45929.684676770834</v>
      </c>
      <c r="B10" s="5" t="s">
        <v>26</v>
      </c>
      <c r="C10" s="5" t="s">
        <v>33</v>
      </c>
      <c r="D10" s="5" t="s">
        <v>28</v>
      </c>
      <c r="E10" s="6" t="s">
        <v>45</v>
      </c>
      <c r="F10" s="6" t="s">
        <v>39</v>
      </c>
      <c r="G10" s="5" t="s">
        <v>50</v>
      </c>
      <c r="H10" s="5" t="s">
        <v>37</v>
      </c>
      <c r="I10" s="5">
        <v>4.0</v>
      </c>
      <c r="J10" s="5">
        <v>3.0</v>
      </c>
      <c r="K10" s="5">
        <v>3.0</v>
      </c>
      <c r="L10" s="5">
        <v>4.0</v>
      </c>
      <c r="M10" s="5">
        <v>5.0</v>
      </c>
      <c r="N10" s="5">
        <v>4.0</v>
      </c>
      <c r="O10" s="5">
        <v>5.0</v>
      </c>
      <c r="P10" s="5">
        <v>3.0</v>
      </c>
      <c r="Q10" s="5">
        <v>4.0</v>
      </c>
      <c r="R10" s="5">
        <v>4.0</v>
      </c>
      <c r="S10" s="5">
        <v>2.0</v>
      </c>
      <c r="T10" s="5">
        <v>2.0</v>
      </c>
      <c r="U10" s="5">
        <v>2.0</v>
      </c>
      <c r="V10" s="5">
        <v>2.0</v>
      </c>
      <c r="W10" s="5">
        <v>5.0</v>
      </c>
      <c r="X10" s="5">
        <v>4.0</v>
      </c>
      <c r="Y10" s="5">
        <v>5.0</v>
      </c>
      <c r="Z10" s="5">
        <v>3.0</v>
      </c>
    </row>
    <row r="11" ht="22.5" customHeight="1">
      <c r="A11" s="4">
        <v>45929.68493081018</v>
      </c>
      <c r="B11" s="5" t="s">
        <v>26</v>
      </c>
      <c r="C11" s="5" t="s">
        <v>27</v>
      </c>
      <c r="D11" s="5" t="s">
        <v>28</v>
      </c>
      <c r="E11" s="6" t="s">
        <v>34</v>
      </c>
      <c r="F11" s="6" t="s">
        <v>41</v>
      </c>
      <c r="G11" s="5" t="s">
        <v>51</v>
      </c>
      <c r="H11" s="5" t="s">
        <v>32</v>
      </c>
      <c r="I11" s="5">
        <v>4.0</v>
      </c>
      <c r="J11" s="5">
        <v>4.0</v>
      </c>
      <c r="K11" s="5">
        <v>4.0</v>
      </c>
      <c r="L11" s="5">
        <v>4.0</v>
      </c>
      <c r="M11" s="5">
        <v>5.0</v>
      </c>
      <c r="N11" s="5">
        <v>4.0</v>
      </c>
      <c r="O11" s="5">
        <v>5.0</v>
      </c>
      <c r="P11" s="5">
        <v>3.0</v>
      </c>
      <c r="Q11" s="5">
        <v>5.0</v>
      </c>
      <c r="R11" s="5">
        <v>5.0</v>
      </c>
      <c r="S11" s="5">
        <v>5.0</v>
      </c>
      <c r="T11" s="5">
        <v>4.0</v>
      </c>
      <c r="U11" s="5">
        <v>3.0</v>
      </c>
      <c r="V11" s="5">
        <v>4.0</v>
      </c>
      <c r="W11" s="5">
        <v>4.0</v>
      </c>
      <c r="X11" s="5">
        <v>4.0</v>
      </c>
      <c r="Y11" s="5">
        <v>5.0</v>
      </c>
      <c r="Z11" s="5">
        <v>5.0</v>
      </c>
    </row>
    <row r="12" ht="22.5" customHeight="1">
      <c r="A12" s="4">
        <v>45929.685608796295</v>
      </c>
      <c r="B12" s="5" t="s">
        <v>48</v>
      </c>
      <c r="C12" s="5" t="s">
        <v>27</v>
      </c>
      <c r="D12" s="5" t="s">
        <v>28</v>
      </c>
      <c r="E12" s="6" t="s">
        <v>52</v>
      </c>
      <c r="F12" s="6" t="s">
        <v>39</v>
      </c>
      <c r="G12" s="5" t="s">
        <v>42</v>
      </c>
      <c r="H12" s="5" t="s">
        <v>32</v>
      </c>
      <c r="I12" s="5">
        <v>4.0</v>
      </c>
      <c r="J12" s="5">
        <v>4.0</v>
      </c>
      <c r="K12" s="5">
        <v>4.0</v>
      </c>
      <c r="L12" s="5">
        <v>4.0</v>
      </c>
      <c r="M12" s="5">
        <v>5.0</v>
      </c>
      <c r="N12" s="5">
        <v>4.0</v>
      </c>
      <c r="O12" s="5">
        <v>5.0</v>
      </c>
      <c r="P12" s="5">
        <v>2.0</v>
      </c>
      <c r="Q12" s="5">
        <v>5.0</v>
      </c>
      <c r="R12" s="5">
        <v>5.0</v>
      </c>
      <c r="S12" s="5">
        <v>4.0</v>
      </c>
      <c r="T12" s="5">
        <v>4.0</v>
      </c>
      <c r="U12" s="5">
        <v>5.0</v>
      </c>
      <c r="V12" s="5">
        <v>4.0</v>
      </c>
      <c r="W12" s="5">
        <v>4.0</v>
      </c>
      <c r="X12" s="5">
        <v>4.0</v>
      </c>
      <c r="Y12" s="5">
        <v>5.0</v>
      </c>
      <c r="Z12" s="5">
        <v>5.0</v>
      </c>
    </row>
    <row r="13" ht="22.5" customHeight="1">
      <c r="A13" s="4">
        <v>45929.68707688658</v>
      </c>
      <c r="B13" s="5" t="s">
        <v>26</v>
      </c>
      <c r="C13" s="5" t="s">
        <v>33</v>
      </c>
      <c r="D13" s="5" t="s">
        <v>28</v>
      </c>
      <c r="E13" s="6" t="s">
        <v>34</v>
      </c>
      <c r="F13" s="6" t="s">
        <v>39</v>
      </c>
      <c r="G13" s="5" t="s">
        <v>53</v>
      </c>
      <c r="H13" s="5" t="s">
        <v>37</v>
      </c>
      <c r="I13" s="5">
        <v>4.0</v>
      </c>
      <c r="J13" s="5">
        <v>4.0</v>
      </c>
      <c r="K13" s="5">
        <v>4.0</v>
      </c>
      <c r="L13" s="5">
        <v>4.0</v>
      </c>
      <c r="M13" s="5">
        <v>4.0</v>
      </c>
      <c r="N13" s="5">
        <v>4.0</v>
      </c>
      <c r="O13" s="5">
        <v>4.0</v>
      </c>
      <c r="P13" s="5">
        <v>3.0</v>
      </c>
      <c r="Q13" s="5">
        <v>5.0</v>
      </c>
      <c r="R13" s="5">
        <v>3.0</v>
      </c>
      <c r="S13" s="5">
        <v>4.0</v>
      </c>
      <c r="T13" s="5">
        <v>3.0</v>
      </c>
      <c r="U13" s="5">
        <v>1.0</v>
      </c>
      <c r="V13" s="5">
        <v>2.0</v>
      </c>
      <c r="W13" s="5">
        <v>2.0</v>
      </c>
      <c r="X13" s="5">
        <v>4.0</v>
      </c>
      <c r="Y13" s="5">
        <v>5.0</v>
      </c>
      <c r="Z13" s="5">
        <v>3.0</v>
      </c>
    </row>
    <row r="14" ht="22.5" customHeight="1">
      <c r="A14" s="4">
        <v>45929.687104641205</v>
      </c>
      <c r="B14" s="5" t="s">
        <v>48</v>
      </c>
      <c r="C14" s="5" t="s">
        <v>33</v>
      </c>
      <c r="D14" s="5" t="s">
        <v>54</v>
      </c>
      <c r="E14" s="6" t="s">
        <v>34</v>
      </c>
      <c r="F14" s="6" t="s">
        <v>41</v>
      </c>
      <c r="G14" s="5" t="s">
        <v>51</v>
      </c>
      <c r="H14" s="5" t="s">
        <v>37</v>
      </c>
      <c r="I14" s="5">
        <v>5.0</v>
      </c>
      <c r="J14" s="5">
        <v>4.0</v>
      </c>
      <c r="K14" s="5">
        <v>4.0</v>
      </c>
      <c r="L14" s="5">
        <v>5.0</v>
      </c>
      <c r="M14" s="5">
        <v>5.0</v>
      </c>
      <c r="N14" s="5">
        <v>4.0</v>
      </c>
      <c r="O14" s="5">
        <v>5.0</v>
      </c>
      <c r="P14" s="5">
        <v>4.0</v>
      </c>
      <c r="Q14" s="5">
        <v>5.0</v>
      </c>
      <c r="R14" s="5">
        <v>5.0</v>
      </c>
      <c r="S14" s="5">
        <v>4.0</v>
      </c>
      <c r="T14" s="5">
        <v>3.0</v>
      </c>
      <c r="U14" s="5">
        <v>3.0</v>
      </c>
      <c r="V14" s="5">
        <v>4.0</v>
      </c>
      <c r="W14" s="5">
        <v>3.0</v>
      </c>
      <c r="X14" s="5">
        <v>4.0</v>
      </c>
      <c r="Y14" s="5">
        <v>5.0</v>
      </c>
      <c r="Z14" s="5">
        <v>4.0</v>
      </c>
    </row>
    <row r="15" ht="22.5" customHeight="1">
      <c r="A15" s="4">
        <v>45929.68790655093</v>
      </c>
      <c r="B15" s="5" t="s">
        <v>26</v>
      </c>
      <c r="C15" s="5" t="s">
        <v>27</v>
      </c>
      <c r="D15" s="5" t="s">
        <v>55</v>
      </c>
      <c r="E15" s="6" t="s">
        <v>52</v>
      </c>
      <c r="F15" s="5" t="s">
        <v>30</v>
      </c>
      <c r="G15" s="5" t="s">
        <v>56</v>
      </c>
      <c r="H15" s="5" t="s">
        <v>32</v>
      </c>
      <c r="I15" s="5">
        <v>4.0</v>
      </c>
      <c r="J15" s="5">
        <v>4.0</v>
      </c>
      <c r="K15" s="5">
        <v>3.0</v>
      </c>
      <c r="L15" s="5">
        <v>3.0</v>
      </c>
      <c r="M15" s="5">
        <v>5.0</v>
      </c>
      <c r="N15" s="5">
        <v>3.0</v>
      </c>
      <c r="O15" s="5">
        <v>4.0</v>
      </c>
      <c r="P15" s="5">
        <v>4.0</v>
      </c>
      <c r="Q15" s="5">
        <v>5.0</v>
      </c>
      <c r="R15" s="5">
        <v>5.0</v>
      </c>
      <c r="S15" s="5">
        <v>3.0</v>
      </c>
      <c r="T15" s="5">
        <v>3.0</v>
      </c>
      <c r="U15" s="5">
        <v>1.0</v>
      </c>
      <c r="V15" s="5">
        <v>1.0</v>
      </c>
      <c r="W15" s="5">
        <v>5.0</v>
      </c>
      <c r="X15" s="5">
        <v>3.0</v>
      </c>
      <c r="Y15" s="5">
        <v>5.0</v>
      </c>
      <c r="Z15" s="5">
        <v>4.0</v>
      </c>
    </row>
    <row r="16" ht="22.5" customHeight="1">
      <c r="A16" s="4">
        <v>45929.690315520835</v>
      </c>
      <c r="B16" s="5" t="s">
        <v>26</v>
      </c>
      <c r="C16" s="5" t="s">
        <v>27</v>
      </c>
      <c r="D16" s="5" t="s">
        <v>28</v>
      </c>
      <c r="E16" s="6" t="s">
        <v>34</v>
      </c>
      <c r="F16" s="6" t="s">
        <v>35</v>
      </c>
      <c r="G16" s="5" t="s">
        <v>57</v>
      </c>
      <c r="H16" s="5" t="s">
        <v>32</v>
      </c>
      <c r="I16" s="5">
        <v>5.0</v>
      </c>
      <c r="J16" s="5">
        <v>4.0</v>
      </c>
      <c r="K16" s="5">
        <v>4.0</v>
      </c>
      <c r="L16" s="5">
        <v>4.0</v>
      </c>
      <c r="M16" s="5">
        <v>5.0</v>
      </c>
      <c r="N16" s="5">
        <v>4.0</v>
      </c>
      <c r="O16" s="5">
        <v>5.0</v>
      </c>
      <c r="P16" s="5">
        <v>4.0</v>
      </c>
      <c r="Q16" s="5">
        <v>5.0</v>
      </c>
      <c r="R16" s="5">
        <v>5.0</v>
      </c>
      <c r="S16" s="5">
        <v>4.0</v>
      </c>
      <c r="T16" s="5">
        <v>2.0</v>
      </c>
      <c r="U16" s="5">
        <v>3.0</v>
      </c>
      <c r="V16" s="5">
        <v>3.0</v>
      </c>
      <c r="W16" s="5">
        <v>3.0</v>
      </c>
      <c r="X16" s="5">
        <v>4.0</v>
      </c>
      <c r="Y16" s="5">
        <v>5.0</v>
      </c>
      <c r="Z16" s="5">
        <v>4.0</v>
      </c>
    </row>
    <row r="17" ht="22.5" customHeight="1">
      <c r="A17" s="4">
        <v>45929.690345532406</v>
      </c>
      <c r="B17" s="5" t="s">
        <v>26</v>
      </c>
      <c r="C17" s="5" t="s">
        <v>27</v>
      </c>
      <c r="D17" s="5" t="s">
        <v>55</v>
      </c>
      <c r="E17" s="6" t="s">
        <v>34</v>
      </c>
      <c r="F17" s="6" t="s">
        <v>35</v>
      </c>
      <c r="G17" s="5" t="s">
        <v>58</v>
      </c>
      <c r="H17" s="5" t="s">
        <v>37</v>
      </c>
      <c r="I17" s="5">
        <v>4.0</v>
      </c>
      <c r="J17" s="5">
        <v>3.0</v>
      </c>
      <c r="K17" s="5">
        <v>4.0</v>
      </c>
      <c r="L17" s="5">
        <v>3.0</v>
      </c>
      <c r="M17" s="5">
        <v>4.0</v>
      </c>
      <c r="N17" s="5">
        <v>4.0</v>
      </c>
      <c r="O17" s="5">
        <v>3.0</v>
      </c>
      <c r="P17" s="5">
        <v>3.0</v>
      </c>
      <c r="Q17" s="5">
        <v>5.0</v>
      </c>
      <c r="R17" s="5">
        <v>5.0</v>
      </c>
      <c r="S17" s="5">
        <v>3.0</v>
      </c>
      <c r="T17" s="5">
        <v>3.0</v>
      </c>
      <c r="U17" s="5">
        <v>2.0</v>
      </c>
      <c r="V17" s="5">
        <v>4.0</v>
      </c>
      <c r="W17" s="5">
        <v>3.0</v>
      </c>
      <c r="X17" s="5">
        <v>4.0</v>
      </c>
      <c r="Y17" s="5">
        <v>5.0</v>
      </c>
      <c r="Z17" s="5">
        <v>4.0</v>
      </c>
    </row>
    <row r="18" ht="22.5" customHeight="1">
      <c r="A18" s="4">
        <v>45929.74173835648</v>
      </c>
      <c r="B18" s="5" t="s">
        <v>59</v>
      </c>
      <c r="C18" s="5" t="s">
        <v>33</v>
      </c>
      <c r="D18" s="5" t="s">
        <v>28</v>
      </c>
      <c r="E18" s="6" t="s">
        <v>34</v>
      </c>
      <c r="F18" s="6" t="s">
        <v>39</v>
      </c>
      <c r="G18" s="5" t="s">
        <v>60</v>
      </c>
      <c r="H18" s="5" t="s">
        <v>37</v>
      </c>
      <c r="I18" s="5">
        <v>4.0</v>
      </c>
      <c r="J18" s="5">
        <v>4.0</v>
      </c>
      <c r="K18" s="5">
        <v>4.0</v>
      </c>
      <c r="L18" s="5">
        <v>4.0</v>
      </c>
      <c r="M18" s="5">
        <v>5.0</v>
      </c>
      <c r="N18" s="5">
        <v>3.0</v>
      </c>
      <c r="O18" s="5">
        <v>5.0</v>
      </c>
      <c r="P18" s="5">
        <v>5.0</v>
      </c>
      <c r="Q18" s="5">
        <v>3.0</v>
      </c>
      <c r="R18" s="5">
        <v>4.0</v>
      </c>
      <c r="S18" s="5">
        <v>3.0</v>
      </c>
      <c r="T18" s="5">
        <v>3.0</v>
      </c>
      <c r="U18" s="5">
        <v>3.0</v>
      </c>
      <c r="V18" s="5">
        <v>3.0</v>
      </c>
      <c r="W18" s="5">
        <v>3.0</v>
      </c>
      <c r="X18" s="5">
        <v>3.0</v>
      </c>
      <c r="Y18" s="5">
        <v>3.0</v>
      </c>
      <c r="Z18" s="5">
        <v>3.0</v>
      </c>
    </row>
    <row r="19" ht="22.5" customHeight="1">
      <c r="A19" s="4">
        <v>45929.74389153935</v>
      </c>
      <c r="B19" s="5" t="s">
        <v>48</v>
      </c>
      <c r="C19" s="5" t="s">
        <v>33</v>
      </c>
      <c r="D19" s="5" t="s">
        <v>61</v>
      </c>
      <c r="E19" s="6" t="s">
        <v>45</v>
      </c>
      <c r="F19" s="6" t="s">
        <v>39</v>
      </c>
      <c r="G19" s="5" t="s">
        <v>62</v>
      </c>
      <c r="H19" s="5" t="s">
        <v>37</v>
      </c>
      <c r="I19" s="5">
        <v>5.0</v>
      </c>
      <c r="J19" s="5">
        <v>5.0</v>
      </c>
      <c r="K19" s="5">
        <v>4.0</v>
      </c>
      <c r="L19" s="5">
        <v>4.0</v>
      </c>
      <c r="M19" s="5">
        <v>4.0</v>
      </c>
      <c r="N19" s="5">
        <v>4.0</v>
      </c>
      <c r="O19" s="5">
        <v>5.0</v>
      </c>
      <c r="P19" s="5">
        <v>5.0</v>
      </c>
      <c r="Q19" s="5">
        <v>4.0</v>
      </c>
      <c r="R19" s="5">
        <v>4.0</v>
      </c>
      <c r="S19" s="5">
        <v>4.0</v>
      </c>
      <c r="T19" s="5">
        <v>4.0</v>
      </c>
      <c r="U19" s="5">
        <v>4.0</v>
      </c>
      <c r="V19" s="5">
        <v>4.0</v>
      </c>
      <c r="W19" s="5">
        <v>4.0</v>
      </c>
      <c r="X19" s="5">
        <v>5.0</v>
      </c>
      <c r="Y19" s="5">
        <v>5.0</v>
      </c>
      <c r="Z19" s="5">
        <v>4.0</v>
      </c>
    </row>
    <row r="20" ht="22.5" customHeight="1">
      <c r="A20" s="4">
        <v>45929.744050775465</v>
      </c>
      <c r="B20" s="5" t="s">
        <v>48</v>
      </c>
      <c r="C20" s="5" t="s">
        <v>27</v>
      </c>
      <c r="D20" s="5" t="s">
        <v>28</v>
      </c>
      <c r="E20" s="6" t="s">
        <v>34</v>
      </c>
      <c r="F20" s="6" t="s">
        <v>35</v>
      </c>
      <c r="G20" s="5" t="s">
        <v>63</v>
      </c>
      <c r="H20" s="5" t="s">
        <v>32</v>
      </c>
      <c r="I20" s="5">
        <v>5.0</v>
      </c>
      <c r="J20" s="5">
        <v>4.0</v>
      </c>
      <c r="K20" s="5">
        <v>5.0</v>
      </c>
      <c r="L20" s="5">
        <v>5.0</v>
      </c>
      <c r="M20" s="5">
        <v>5.0</v>
      </c>
      <c r="N20" s="5">
        <v>5.0</v>
      </c>
      <c r="O20" s="5">
        <v>5.0</v>
      </c>
      <c r="P20" s="5">
        <v>5.0</v>
      </c>
      <c r="Q20" s="5">
        <v>4.0</v>
      </c>
      <c r="R20" s="5">
        <v>4.0</v>
      </c>
      <c r="S20" s="5">
        <v>4.0</v>
      </c>
      <c r="T20" s="5">
        <v>5.0</v>
      </c>
      <c r="U20" s="5">
        <v>3.0</v>
      </c>
      <c r="V20" s="5">
        <v>4.0</v>
      </c>
      <c r="W20" s="5">
        <v>5.0</v>
      </c>
      <c r="X20" s="5">
        <v>4.0</v>
      </c>
      <c r="Y20" s="5">
        <v>5.0</v>
      </c>
      <c r="Z20" s="5">
        <v>4.0</v>
      </c>
    </row>
    <row r="21" ht="22.5" customHeight="1">
      <c r="A21" s="4">
        <v>45929.7447452662</v>
      </c>
      <c r="B21" s="5" t="s">
        <v>48</v>
      </c>
      <c r="C21" s="5" t="s">
        <v>27</v>
      </c>
      <c r="D21" s="5" t="s">
        <v>28</v>
      </c>
      <c r="E21" s="6" t="s">
        <v>34</v>
      </c>
      <c r="F21" s="6" t="s">
        <v>35</v>
      </c>
      <c r="G21" s="5" t="s">
        <v>43</v>
      </c>
      <c r="H21" s="5" t="s">
        <v>32</v>
      </c>
      <c r="I21" s="5">
        <v>4.0</v>
      </c>
      <c r="J21" s="5">
        <v>5.0</v>
      </c>
      <c r="K21" s="5">
        <v>3.0</v>
      </c>
      <c r="L21" s="5">
        <v>4.0</v>
      </c>
      <c r="M21" s="5">
        <v>5.0</v>
      </c>
      <c r="N21" s="5">
        <v>3.0</v>
      </c>
      <c r="O21" s="5">
        <v>4.0</v>
      </c>
      <c r="P21" s="5">
        <v>5.0</v>
      </c>
      <c r="Q21" s="5">
        <v>5.0</v>
      </c>
      <c r="R21" s="5">
        <v>3.0</v>
      </c>
      <c r="S21" s="5">
        <v>3.0</v>
      </c>
      <c r="T21" s="5">
        <v>4.0</v>
      </c>
      <c r="U21" s="5">
        <v>2.0</v>
      </c>
      <c r="V21" s="5">
        <v>1.0</v>
      </c>
      <c r="W21" s="5">
        <v>2.0</v>
      </c>
      <c r="X21" s="5">
        <v>4.0</v>
      </c>
      <c r="Y21" s="5">
        <v>3.0</v>
      </c>
      <c r="Z21" s="5">
        <v>3.0</v>
      </c>
    </row>
    <row r="22" ht="22.5" customHeight="1">
      <c r="A22" s="4">
        <v>45929.74549645833</v>
      </c>
      <c r="B22" s="5" t="s">
        <v>26</v>
      </c>
      <c r="C22" s="5" t="s">
        <v>33</v>
      </c>
      <c r="D22" s="5" t="s">
        <v>64</v>
      </c>
      <c r="E22" s="6" t="s">
        <v>34</v>
      </c>
      <c r="F22" s="6" t="s">
        <v>35</v>
      </c>
      <c r="G22" s="5" t="s">
        <v>53</v>
      </c>
      <c r="H22" s="5" t="s">
        <v>32</v>
      </c>
      <c r="I22" s="5">
        <v>5.0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>
        <v>5.0</v>
      </c>
      <c r="P22" s="5">
        <v>4.0</v>
      </c>
      <c r="Q22" s="5">
        <v>5.0</v>
      </c>
      <c r="R22" s="5">
        <v>5.0</v>
      </c>
      <c r="S22" s="5">
        <v>4.0</v>
      </c>
      <c r="T22" s="5">
        <v>5.0</v>
      </c>
      <c r="U22" s="5">
        <v>5.0</v>
      </c>
      <c r="V22" s="5">
        <v>5.0</v>
      </c>
      <c r="W22" s="5">
        <v>5.0</v>
      </c>
      <c r="X22" s="5">
        <v>5.0</v>
      </c>
      <c r="Y22" s="5">
        <v>5.0</v>
      </c>
      <c r="Z22" s="5">
        <v>4.0</v>
      </c>
    </row>
    <row r="23" ht="22.5" customHeight="1">
      <c r="A23" s="4">
        <v>45929.748004375</v>
      </c>
      <c r="B23" s="5" t="s">
        <v>48</v>
      </c>
      <c r="C23" s="5" t="s">
        <v>33</v>
      </c>
      <c r="D23" s="5" t="s">
        <v>28</v>
      </c>
      <c r="E23" s="6" t="s">
        <v>34</v>
      </c>
      <c r="F23" s="6" t="s">
        <v>35</v>
      </c>
      <c r="G23" s="5" t="s">
        <v>46</v>
      </c>
      <c r="H23" s="5" t="s">
        <v>37</v>
      </c>
      <c r="I23" s="5">
        <v>3.0</v>
      </c>
      <c r="J23" s="5">
        <v>3.0</v>
      </c>
      <c r="K23" s="5">
        <v>2.0</v>
      </c>
      <c r="L23" s="5">
        <v>2.0</v>
      </c>
      <c r="M23" s="5">
        <v>4.0</v>
      </c>
      <c r="N23" s="5">
        <v>4.0</v>
      </c>
      <c r="O23" s="5">
        <v>2.0</v>
      </c>
      <c r="P23" s="5">
        <v>2.0</v>
      </c>
      <c r="Q23" s="5">
        <v>4.0</v>
      </c>
      <c r="R23" s="5">
        <v>4.0</v>
      </c>
      <c r="S23" s="5">
        <v>3.0</v>
      </c>
      <c r="T23" s="5">
        <v>2.0</v>
      </c>
      <c r="U23" s="5">
        <v>1.0</v>
      </c>
      <c r="V23" s="5">
        <v>3.0</v>
      </c>
      <c r="W23" s="5">
        <v>4.0</v>
      </c>
      <c r="X23" s="5">
        <v>4.0</v>
      </c>
      <c r="Y23" s="5">
        <v>4.0</v>
      </c>
      <c r="Z23" s="5">
        <v>3.0</v>
      </c>
    </row>
    <row r="24" ht="22.5" customHeight="1">
      <c r="A24" s="4">
        <v>45929.74980751157</v>
      </c>
      <c r="B24" s="5" t="s">
        <v>65</v>
      </c>
      <c r="C24" s="5" t="s">
        <v>33</v>
      </c>
      <c r="D24" s="5" t="s">
        <v>28</v>
      </c>
      <c r="E24" s="5" t="s">
        <v>29</v>
      </c>
      <c r="F24" s="5" t="s">
        <v>30</v>
      </c>
      <c r="G24" s="5" t="s">
        <v>66</v>
      </c>
      <c r="H24" s="5" t="s">
        <v>32</v>
      </c>
      <c r="I24" s="5">
        <v>5.0</v>
      </c>
      <c r="J24" s="5">
        <v>2.0</v>
      </c>
      <c r="K24" s="5">
        <v>3.0</v>
      </c>
      <c r="L24" s="5">
        <v>2.0</v>
      </c>
      <c r="M24" s="5">
        <v>5.0</v>
      </c>
      <c r="N24" s="5">
        <v>4.0</v>
      </c>
      <c r="O24" s="5">
        <v>5.0</v>
      </c>
      <c r="P24" s="5">
        <v>2.0</v>
      </c>
      <c r="Q24" s="5">
        <v>4.0</v>
      </c>
      <c r="R24" s="5">
        <v>5.0</v>
      </c>
      <c r="S24" s="5">
        <v>3.0</v>
      </c>
      <c r="T24" s="5">
        <v>3.0</v>
      </c>
      <c r="U24" s="5">
        <v>3.0</v>
      </c>
      <c r="V24" s="5">
        <v>2.0</v>
      </c>
      <c r="W24" s="5">
        <v>4.0</v>
      </c>
      <c r="X24" s="5">
        <v>4.0</v>
      </c>
      <c r="Y24" s="5">
        <v>5.0</v>
      </c>
      <c r="Z24" s="5">
        <v>5.0</v>
      </c>
    </row>
    <row r="25" ht="22.5" customHeight="1">
      <c r="A25" s="4">
        <v>45929.7528818287</v>
      </c>
      <c r="B25" s="5" t="s">
        <v>65</v>
      </c>
      <c r="C25" s="5" t="s">
        <v>27</v>
      </c>
      <c r="D25" s="5" t="s">
        <v>28</v>
      </c>
      <c r="E25" s="6" t="s">
        <v>34</v>
      </c>
      <c r="F25" s="6" t="s">
        <v>41</v>
      </c>
      <c r="G25" s="5" t="s">
        <v>67</v>
      </c>
      <c r="H25" s="5" t="s">
        <v>32</v>
      </c>
      <c r="I25" s="5">
        <v>5.0</v>
      </c>
      <c r="J25" s="5">
        <v>5.0</v>
      </c>
      <c r="K25" s="5">
        <v>5.0</v>
      </c>
      <c r="L25" s="5">
        <v>5.0</v>
      </c>
      <c r="M25" s="5">
        <v>5.0</v>
      </c>
      <c r="N25" s="5">
        <v>5.0</v>
      </c>
      <c r="O25" s="5">
        <v>5.0</v>
      </c>
      <c r="P25" s="5">
        <v>5.0</v>
      </c>
      <c r="Q25" s="5">
        <v>5.0</v>
      </c>
      <c r="R25" s="5">
        <v>5.0</v>
      </c>
      <c r="S25" s="5">
        <v>4.0</v>
      </c>
      <c r="T25" s="5">
        <v>4.0</v>
      </c>
      <c r="U25" s="5">
        <v>3.0</v>
      </c>
      <c r="V25" s="5">
        <v>3.0</v>
      </c>
      <c r="W25" s="5">
        <v>4.0</v>
      </c>
      <c r="X25" s="5">
        <v>4.0</v>
      </c>
      <c r="Y25" s="5">
        <v>4.0</v>
      </c>
      <c r="Z25" s="5">
        <v>4.0</v>
      </c>
    </row>
    <row r="26" ht="22.5" customHeight="1">
      <c r="A26" s="4">
        <v>45929.75297054398</v>
      </c>
      <c r="B26" s="5" t="s">
        <v>26</v>
      </c>
      <c r="C26" s="5" t="s">
        <v>27</v>
      </c>
      <c r="D26" s="5" t="s">
        <v>28</v>
      </c>
      <c r="E26" s="6" t="s">
        <v>34</v>
      </c>
      <c r="F26" s="6" t="s">
        <v>35</v>
      </c>
      <c r="G26" s="5" t="s">
        <v>42</v>
      </c>
      <c r="H26" s="5" t="s">
        <v>37</v>
      </c>
      <c r="I26" s="5">
        <v>4.0</v>
      </c>
      <c r="J26" s="5">
        <v>5.0</v>
      </c>
      <c r="K26" s="5">
        <v>4.0</v>
      </c>
      <c r="L26" s="5">
        <v>3.0</v>
      </c>
      <c r="M26" s="5">
        <v>5.0</v>
      </c>
      <c r="N26" s="5">
        <v>4.0</v>
      </c>
      <c r="O26" s="5">
        <v>5.0</v>
      </c>
      <c r="P26" s="5">
        <v>4.0</v>
      </c>
      <c r="Q26" s="5">
        <v>5.0</v>
      </c>
      <c r="R26" s="5">
        <v>5.0</v>
      </c>
      <c r="S26" s="5">
        <v>4.0</v>
      </c>
      <c r="T26" s="5">
        <v>2.0</v>
      </c>
      <c r="U26" s="5">
        <v>3.0</v>
      </c>
      <c r="V26" s="5">
        <v>3.0</v>
      </c>
      <c r="W26" s="5">
        <v>5.0</v>
      </c>
      <c r="X26" s="5">
        <v>5.0</v>
      </c>
      <c r="Y26" s="5">
        <v>5.0</v>
      </c>
      <c r="Z26" s="5">
        <v>5.0</v>
      </c>
    </row>
    <row r="27" ht="22.5" customHeight="1">
      <c r="A27" s="4">
        <v>45929.75300388889</v>
      </c>
      <c r="B27" s="5" t="s">
        <v>26</v>
      </c>
      <c r="C27" s="5" t="s">
        <v>27</v>
      </c>
      <c r="D27" s="5" t="s">
        <v>64</v>
      </c>
      <c r="E27" s="6" t="s">
        <v>45</v>
      </c>
      <c r="F27" s="6" t="s">
        <v>39</v>
      </c>
      <c r="G27" s="5" t="s">
        <v>49</v>
      </c>
      <c r="H27" s="5" t="s">
        <v>37</v>
      </c>
      <c r="I27" s="5">
        <v>4.0</v>
      </c>
      <c r="J27" s="5">
        <v>2.0</v>
      </c>
      <c r="K27" s="5">
        <v>4.0</v>
      </c>
      <c r="L27" s="5">
        <v>3.0</v>
      </c>
      <c r="M27" s="5">
        <v>4.0</v>
      </c>
      <c r="N27" s="5">
        <v>5.0</v>
      </c>
      <c r="O27" s="5">
        <v>4.0</v>
      </c>
      <c r="P27" s="5">
        <v>4.0</v>
      </c>
      <c r="Q27" s="5">
        <v>4.0</v>
      </c>
      <c r="R27" s="5">
        <v>5.0</v>
      </c>
      <c r="S27" s="5">
        <v>4.0</v>
      </c>
      <c r="T27" s="5">
        <v>2.0</v>
      </c>
      <c r="U27" s="5">
        <v>1.0</v>
      </c>
      <c r="V27" s="5">
        <v>1.0</v>
      </c>
      <c r="W27" s="5">
        <v>2.0</v>
      </c>
      <c r="X27" s="5">
        <v>4.0</v>
      </c>
      <c r="Y27" s="5">
        <v>4.0</v>
      </c>
      <c r="Z27" s="5">
        <v>2.0</v>
      </c>
    </row>
    <row r="28" ht="22.5" customHeight="1">
      <c r="A28" s="4">
        <v>45929.753058993054</v>
      </c>
      <c r="B28" s="5" t="s">
        <v>65</v>
      </c>
      <c r="C28" s="5" t="s">
        <v>27</v>
      </c>
      <c r="D28" s="5" t="s">
        <v>28</v>
      </c>
      <c r="E28" s="6" t="s">
        <v>52</v>
      </c>
      <c r="F28" s="6" t="s">
        <v>39</v>
      </c>
      <c r="G28" s="5" t="s">
        <v>42</v>
      </c>
      <c r="H28" s="5" t="s">
        <v>32</v>
      </c>
      <c r="I28" s="5">
        <v>3.0</v>
      </c>
      <c r="J28" s="5">
        <v>4.0</v>
      </c>
      <c r="K28" s="5">
        <v>3.0</v>
      </c>
      <c r="L28" s="5">
        <v>3.0</v>
      </c>
      <c r="M28" s="5">
        <v>4.0</v>
      </c>
      <c r="N28" s="5">
        <v>4.0</v>
      </c>
      <c r="O28" s="5">
        <v>4.0</v>
      </c>
      <c r="P28" s="5">
        <v>4.0</v>
      </c>
      <c r="Q28" s="5">
        <v>4.0</v>
      </c>
      <c r="R28" s="5">
        <v>4.0</v>
      </c>
      <c r="S28" s="5">
        <v>4.0</v>
      </c>
      <c r="T28" s="5">
        <v>4.0</v>
      </c>
      <c r="U28" s="5">
        <v>3.0</v>
      </c>
      <c r="V28" s="5">
        <v>3.0</v>
      </c>
      <c r="W28" s="5">
        <v>3.0</v>
      </c>
      <c r="X28" s="5">
        <v>4.0</v>
      </c>
      <c r="Y28" s="5">
        <v>3.0</v>
      </c>
      <c r="Z28" s="5">
        <v>4.0</v>
      </c>
    </row>
    <row r="29" ht="22.5" customHeight="1">
      <c r="A29" s="4">
        <v>45929.75308892361</v>
      </c>
      <c r="B29" s="5" t="s">
        <v>26</v>
      </c>
      <c r="C29" s="5" t="s">
        <v>27</v>
      </c>
      <c r="D29" s="5" t="s">
        <v>28</v>
      </c>
      <c r="E29" s="6" t="s">
        <v>45</v>
      </c>
      <c r="F29" s="6" t="s">
        <v>35</v>
      </c>
      <c r="G29" s="5" t="s">
        <v>49</v>
      </c>
      <c r="H29" s="5" t="s">
        <v>32</v>
      </c>
      <c r="I29" s="5">
        <v>4.0</v>
      </c>
      <c r="J29" s="5">
        <v>4.0</v>
      </c>
      <c r="K29" s="5">
        <v>3.0</v>
      </c>
      <c r="L29" s="5">
        <v>2.0</v>
      </c>
      <c r="M29" s="5">
        <v>5.0</v>
      </c>
      <c r="N29" s="5">
        <v>5.0</v>
      </c>
      <c r="O29" s="5">
        <v>5.0</v>
      </c>
      <c r="P29" s="5">
        <v>4.0</v>
      </c>
      <c r="Q29" s="5">
        <v>5.0</v>
      </c>
      <c r="R29" s="5">
        <v>5.0</v>
      </c>
      <c r="S29" s="5">
        <v>5.0</v>
      </c>
      <c r="T29" s="5">
        <v>3.0</v>
      </c>
      <c r="U29" s="5">
        <v>2.0</v>
      </c>
      <c r="V29" s="5">
        <v>3.0</v>
      </c>
      <c r="W29" s="5">
        <v>2.0</v>
      </c>
      <c r="X29" s="5">
        <v>4.0</v>
      </c>
      <c r="Y29" s="5">
        <v>5.0</v>
      </c>
      <c r="Z29" s="5">
        <v>4.0</v>
      </c>
    </row>
    <row r="30" ht="22.5" customHeight="1">
      <c r="A30" s="4">
        <v>45929.753240474536</v>
      </c>
      <c r="B30" s="5" t="s">
        <v>26</v>
      </c>
      <c r="C30" s="5" t="s">
        <v>27</v>
      </c>
      <c r="D30" s="5" t="s">
        <v>28</v>
      </c>
      <c r="E30" s="6" t="s">
        <v>45</v>
      </c>
      <c r="F30" s="6" t="s">
        <v>35</v>
      </c>
      <c r="G30" s="5" t="s">
        <v>68</v>
      </c>
      <c r="H30" s="5" t="s">
        <v>37</v>
      </c>
      <c r="I30" s="5">
        <v>5.0</v>
      </c>
      <c r="J30" s="5">
        <v>5.0</v>
      </c>
      <c r="K30" s="5">
        <v>4.0</v>
      </c>
      <c r="L30" s="5">
        <v>4.0</v>
      </c>
      <c r="M30" s="5">
        <v>5.0</v>
      </c>
      <c r="N30" s="5">
        <v>4.0</v>
      </c>
      <c r="O30" s="5">
        <v>5.0</v>
      </c>
      <c r="P30" s="5">
        <v>5.0</v>
      </c>
      <c r="Q30" s="5">
        <v>5.0</v>
      </c>
      <c r="R30" s="5">
        <v>5.0</v>
      </c>
      <c r="S30" s="5">
        <v>4.0</v>
      </c>
      <c r="T30" s="5">
        <v>3.0</v>
      </c>
      <c r="U30" s="5">
        <v>3.0</v>
      </c>
      <c r="V30" s="5">
        <v>2.0</v>
      </c>
      <c r="W30" s="5">
        <v>4.0</v>
      </c>
      <c r="X30" s="5">
        <v>4.0</v>
      </c>
      <c r="Y30" s="5">
        <v>5.0</v>
      </c>
      <c r="Z30" s="5">
        <v>4.0</v>
      </c>
    </row>
    <row r="31" ht="22.5" customHeight="1">
      <c r="A31" s="4">
        <v>45929.75330502314</v>
      </c>
      <c r="B31" s="5" t="s">
        <v>48</v>
      </c>
      <c r="C31" s="5" t="s">
        <v>27</v>
      </c>
      <c r="D31" s="5" t="s">
        <v>28</v>
      </c>
      <c r="E31" s="6" t="s">
        <v>34</v>
      </c>
      <c r="F31" s="6" t="s">
        <v>35</v>
      </c>
      <c r="G31" s="5" t="s">
        <v>49</v>
      </c>
      <c r="H31" s="5" t="s">
        <v>37</v>
      </c>
      <c r="I31" s="5">
        <v>4.0</v>
      </c>
      <c r="J31" s="5">
        <v>3.0</v>
      </c>
      <c r="K31" s="5">
        <v>4.0</v>
      </c>
      <c r="L31" s="5">
        <v>2.0</v>
      </c>
      <c r="M31" s="5">
        <v>5.0</v>
      </c>
      <c r="N31" s="5">
        <v>4.0</v>
      </c>
      <c r="O31" s="5">
        <v>4.0</v>
      </c>
      <c r="P31" s="5">
        <v>4.0</v>
      </c>
      <c r="Q31" s="5">
        <v>5.0</v>
      </c>
      <c r="R31" s="5">
        <v>4.0</v>
      </c>
      <c r="S31" s="5">
        <v>3.0</v>
      </c>
      <c r="T31" s="5">
        <v>2.0</v>
      </c>
      <c r="U31" s="5">
        <v>2.0</v>
      </c>
      <c r="V31" s="5">
        <v>3.0</v>
      </c>
      <c r="W31" s="5">
        <v>4.0</v>
      </c>
      <c r="X31" s="5">
        <v>3.0</v>
      </c>
      <c r="Y31" s="5">
        <v>5.0</v>
      </c>
      <c r="Z31" s="5">
        <v>4.0</v>
      </c>
    </row>
    <row r="32" ht="22.5" customHeight="1">
      <c r="A32" s="4">
        <v>45929.7536912037</v>
      </c>
      <c r="B32" s="5" t="s">
        <v>65</v>
      </c>
      <c r="C32" s="5" t="s">
        <v>33</v>
      </c>
      <c r="D32" s="5" t="s">
        <v>64</v>
      </c>
      <c r="E32" s="6" t="s">
        <v>45</v>
      </c>
      <c r="F32" s="6" t="s">
        <v>39</v>
      </c>
      <c r="G32" s="5" t="s">
        <v>69</v>
      </c>
      <c r="H32" s="5" t="s">
        <v>70</v>
      </c>
      <c r="I32" s="5">
        <v>3.0</v>
      </c>
      <c r="J32" s="5">
        <v>4.0</v>
      </c>
      <c r="K32" s="5">
        <v>4.0</v>
      </c>
      <c r="L32" s="5">
        <v>4.0</v>
      </c>
      <c r="M32" s="5">
        <v>4.0</v>
      </c>
      <c r="N32" s="5">
        <v>3.0</v>
      </c>
      <c r="O32" s="5">
        <v>4.0</v>
      </c>
      <c r="P32" s="5">
        <v>4.0</v>
      </c>
      <c r="Q32" s="5">
        <v>4.0</v>
      </c>
      <c r="R32" s="5">
        <v>3.0</v>
      </c>
      <c r="S32" s="5">
        <v>4.0</v>
      </c>
      <c r="T32" s="5">
        <v>3.0</v>
      </c>
      <c r="U32" s="5">
        <v>1.0</v>
      </c>
      <c r="V32" s="5">
        <v>1.0</v>
      </c>
      <c r="W32" s="5">
        <v>1.0</v>
      </c>
      <c r="X32" s="5">
        <v>3.0</v>
      </c>
      <c r="Y32" s="5">
        <v>4.0</v>
      </c>
      <c r="Z32" s="5">
        <v>2.0</v>
      </c>
    </row>
    <row r="33" ht="22.5" customHeight="1">
      <c r="A33" s="4">
        <v>45929.75388476852</v>
      </c>
      <c r="B33" s="5" t="s">
        <v>26</v>
      </c>
      <c r="C33" s="5" t="s">
        <v>27</v>
      </c>
      <c r="D33" s="5" t="s">
        <v>28</v>
      </c>
      <c r="E33" s="6" t="s">
        <v>45</v>
      </c>
      <c r="F33" s="6" t="s">
        <v>35</v>
      </c>
      <c r="G33" s="5" t="s">
        <v>71</v>
      </c>
      <c r="H33" s="5" t="s">
        <v>37</v>
      </c>
      <c r="I33" s="5">
        <v>4.0</v>
      </c>
      <c r="J33" s="5">
        <v>3.0</v>
      </c>
      <c r="K33" s="5">
        <v>3.0</v>
      </c>
      <c r="L33" s="5">
        <v>3.0</v>
      </c>
      <c r="M33" s="5">
        <v>4.0</v>
      </c>
      <c r="N33" s="5">
        <v>4.0</v>
      </c>
      <c r="O33" s="5">
        <v>5.0</v>
      </c>
      <c r="P33" s="5">
        <v>5.0</v>
      </c>
      <c r="Q33" s="5">
        <v>5.0</v>
      </c>
      <c r="R33" s="5">
        <v>4.0</v>
      </c>
      <c r="S33" s="5">
        <v>4.0</v>
      </c>
      <c r="T33" s="5">
        <v>3.0</v>
      </c>
      <c r="U33" s="5">
        <v>2.0</v>
      </c>
      <c r="V33" s="5">
        <v>1.0</v>
      </c>
      <c r="W33" s="5">
        <v>1.0</v>
      </c>
      <c r="X33" s="5">
        <v>3.0</v>
      </c>
      <c r="Y33" s="5">
        <v>4.0</v>
      </c>
      <c r="Z33" s="5">
        <v>4.0</v>
      </c>
    </row>
    <row r="34" ht="22.5" customHeight="1">
      <c r="A34" s="4">
        <v>45929.75402521991</v>
      </c>
      <c r="B34" s="5" t="s">
        <v>48</v>
      </c>
      <c r="C34" s="5" t="s">
        <v>27</v>
      </c>
      <c r="D34" s="5" t="s">
        <v>28</v>
      </c>
      <c r="E34" s="6" t="s">
        <v>45</v>
      </c>
      <c r="F34" s="6" t="s">
        <v>39</v>
      </c>
      <c r="G34" s="5" t="s">
        <v>57</v>
      </c>
      <c r="H34" s="5" t="s">
        <v>37</v>
      </c>
      <c r="I34" s="5">
        <v>4.0</v>
      </c>
      <c r="J34" s="5">
        <v>4.0</v>
      </c>
      <c r="K34" s="5">
        <v>3.0</v>
      </c>
      <c r="L34" s="5">
        <v>4.0</v>
      </c>
      <c r="M34" s="5">
        <v>5.0</v>
      </c>
      <c r="N34" s="5">
        <v>4.0</v>
      </c>
      <c r="O34" s="5">
        <v>5.0</v>
      </c>
      <c r="P34" s="5">
        <v>5.0</v>
      </c>
      <c r="Q34" s="5">
        <v>5.0</v>
      </c>
      <c r="R34" s="5">
        <v>5.0</v>
      </c>
      <c r="S34" s="5">
        <v>3.0</v>
      </c>
      <c r="T34" s="5">
        <v>2.0</v>
      </c>
      <c r="U34" s="5">
        <v>2.0</v>
      </c>
      <c r="V34" s="5">
        <v>2.0</v>
      </c>
      <c r="W34" s="5">
        <v>4.0</v>
      </c>
      <c r="X34" s="5">
        <v>4.0</v>
      </c>
      <c r="Y34" s="5">
        <v>4.0</v>
      </c>
      <c r="Z34" s="5">
        <v>3.0</v>
      </c>
    </row>
    <row r="35" ht="22.5" customHeight="1">
      <c r="A35" s="4">
        <v>45929.75434760417</v>
      </c>
      <c r="B35" s="5" t="s">
        <v>48</v>
      </c>
      <c r="C35" s="5" t="s">
        <v>27</v>
      </c>
      <c r="D35" s="5" t="s">
        <v>28</v>
      </c>
      <c r="E35" s="6" t="s">
        <v>45</v>
      </c>
      <c r="F35" s="6" t="s">
        <v>39</v>
      </c>
      <c r="G35" s="5" t="s">
        <v>57</v>
      </c>
      <c r="H35" s="5" t="s">
        <v>37</v>
      </c>
      <c r="I35" s="5">
        <v>2.0</v>
      </c>
      <c r="J35" s="5">
        <v>2.0</v>
      </c>
      <c r="K35" s="5">
        <v>2.0</v>
      </c>
      <c r="L35" s="5">
        <v>1.0</v>
      </c>
      <c r="M35" s="5">
        <v>5.0</v>
      </c>
      <c r="N35" s="5">
        <v>4.0</v>
      </c>
      <c r="O35" s="5">
        <v>2.0</v>
      </c>
      <c r="P35" s="5">
        <v>3.0</v>
      </c>
      <c r="Q35" s="5">
        <v>4.0</v>
      </c>
      <c r="R35" s="5">
        <v>5.0</v>
      </c>
      <c r="S35" s="5">
        <v>3.0</v>
      </c>
      <c r="T35" s="5">
        <v>1.0</v>
      </c>
      <c r="U35" s="5">
        <v>1.0</v>
      </c>
      <c r="V35" s="5">
        <v>1.0</v>
      </c>
      <c r="W35" s="5">
        <v>4.0</v>
      </c>
      <c r="X35" s="5">
        <v>3.0</v>
      </c>
      <c r="Y35" s="5">
        <v>5.0</v>
      </c>
      <c r="Z35" s="5">
        <v>4.0</v>
      </c>
    </row>
    <row r="36" ht="22.5" customHeight="1">
      <c r="A36" s="4">
        <v>45929.75479400463</v>
      </c>
      <c r="B36" s="5" t="s">
        <v>26</v>
      </c>
      <c r="C36" s="5" t="s">
        <v>27</v>
      </c>
      <c r="D36" s="5" t="s">
        <v>72</v>
      </c>
      <c r="E36" s="6" t="s">
        <v>45</v>
      </c>
      <c r="F36" s="6" t="s">
        <v>39</v>
      </c>
      <c r="G36" s="5" t="s">
        <v>73</v>
      </c>
      <c r="H36" s="5" t="s">
        <v>37</v>
      </c>
      <c r="I36" s="5">
        <v>4.0</v>
      </c>
      <c r="J36" s="5">
        <v>4.0</v>
      </c>
      <c r="K36" s="5">
        <v>3.0</v>
      </c>
      <c r="L36" s="5">
        <v>3.0</v>
      </c>
      <c r="M36" s="5">
        <v>5.0</v>
      </c>
      <c r="N36" s="5">
        <v>4.0</v>
      </c>
      <c r="O36" s="5">
        <v>5.0</v>
      </c>
      <c r="P36" s="5">
        <v>4.0</v>
      </c>
      <c r="Q36" s="5">
        <v>4.0</v>
      </c>
      <c r="R36" s="5">
        <v>4.0</v>
      </c>
      <c r="S36" s="5">
        <v>3.0</v>
      </c>
      <c r="T36" s="5">
        <v>3.0</v>
      </c>
      <c r="U36" s="5">
        <v>1.0</v>
      </c>
      <c r="V36" s="5">
        <v>1.0</v>
      </c>
      <c r="W36" s="5">
        <v>1.0</v>
      </c>
      <c r="X36" s="5">
        <v>4.0</v>
      </c>
      <c r="Y36" s="5">
        <v>4.0</v>
      </c>
      <c r="Z36" s="5">
        <v>4.0</v>
      </c>
    </row>
    <row r="37" ht="22.5" customHeight="1">
      <c r="A37" s="4">
        <v>45929.75601524305</v>
      </c>
      <c r="B37" s="5" t="s">
        <v>59</v>
      </c>
      <c r="C37" s="5" t="s">
        <v>27</v>
      </c>
      <c r="D37" s="5" t="s">
        <v>44</v>
      </c>
      <c r="E37" s="6" t="s">
        <v>34</v>
      </c>
      <c r="F37" s="6" t="s">
        <v>41</v>
      </c>
      <c r="G37" s="5" t="s">
        <v>57</v>
      </c>
      <c r="H37" s="5" t="s">
        <v>37</v>
      </c>
      <c r="I37" s="5">
        <v>5.0</v>
      </c>
      <c r="J37" s="5">
        <v>5.0</v>
      </c>
      <c r="K37" s="5">
        <v>4.0</v>
      </c>
      <c r="L37" s="5">
        <v>4.0</v>
      </c>
      <c r="M37" s="5">
        <v>4.0</v>
      </c>
      <c r="N37" s="5">
        <v>5.0</v>
      </c>
      <c r="O37" s="5">
        <v>5.0</v>
      </c>
      <c r="P37" s="5">
        <v>5.0</v>
      </c>
      <c r="Q37" s="5">
        <v>5.0</v>
      </c>
      <c r="R37" s="5">
        <v>4.0</v>
      </c>
      <c r="S37" s="5">
        <v>4.0</v>
      </c>
      <c r="T37" s="5">
        <v>3.0</v>
      </c>
      <c r="U37" s="5">
        <v>3.0</v>
      </c>
      <c r="V37" s="5">
        <v>3.0</v>
      </c>
      <c r="W37" s="5">
        <v>4.0</v>
      </c>
      <c r="X37" s="5">
        <v>4.0</v>
      </c>
      <c r="Y37" s="5">
        <v>4.0</v>
      </c>
      <c r="Z37" s="5">
        <v>5.0</v>
      </c>
    </row>
    <row r="38" ht="22.5" customHeight="1">
      <c r="A38" s="4">
        <v>45929.75621196759</v>
      </c>
      <c r="B38" s="5" t="s">
        <v>48</v>
      </c>
      <c r="C38" s="5" t="s">
        <v>27</v>
      </c>
      <c r="D38" s="5" t="s">
        <v>28</v>
      </c>
      <c r="E38" s="6" t="s">
        <v>34</v>
      </c>
      <c r="F38" s="6" t="s">
        <v>35</v>
      </c>
      <c r="G38" s="5" t="s">
        <v>74</v>
      </c>
      <c r="H38" s="5" t="s">
        <v>70</v>
      </c>
      <c r="I38" s="5">
        <v>3.0</v>
      </c>
      <c r="J38" s="5">
        <v>3.0</v>
      </c>
      <c r="K38" s="5">
        <v>3.0</v>
      </c>
      <c r="L38" s="5">
        <v>3.0</v>
      </c>
      <c r="M38" s="5">
        <v>4.0</v>
      </c>
      <c r="N38" s="5">
        <v>3.0</v>
      </c>
      <c r="O38" s="5">
        <v>4.0</v>
      </c>
      <c r="P38" s="5">
        <v>4.0</v>
      </c>
      <c r="Q38" s="5">
        <v>5.0</v>
      </c>
      <c r="R38" s="5">
        <v>4.0</v>
      </c>
      <c r="S38" s="5">
        <v>3.0</v>
      </c>
      <c r="T38" s="5">
        <v>3.0</v>
      </c>
      <c r="U38" s="5">
        <v>3.0</v>
      </c>
      <c r="V38" s="5">
        <v>3.0</v>
      </c>
      <c r="W38" s="5">
        <v>3.0</v>
      </c>
      <c r="X38" s="5">
        <v>3.0</v>
      </c>
      <c r="Y38" s="5">
        <v>3.0</v>
      </c>
      <c r="Z38" s="5">
        <v>3.0</v>
      </c>
    </row>
    <row r="39" ht="22.5" customHeight="1">
      <c r="A39" s="4">
        <v>45929.75839368056</v>
      </c>
      <c r="B39" s="5" t="s">
        <v>65</v>
      </c>
      <c r="C39" s="5" t="s">
        <v>27</v>
      </c>
      <c r="D39" s="5" t="s">
        <v>28</v>
      </c>
      <c r="E39" s="6" t="s">
        <v>52</v>
      </c>
      <c r="F39" s="6" t="s">
        <v>39</v>
      </c>
      <c r="G39" s="5" t="s">
        <v>75</v>
      </c>
      <c r="H39" s="5" t="s">
        <v>32</v>
      </c>
      <c r="I39" s="5">
        <v>4.0</v>
      </c>
      <c r="J39" s="5">
        <v>3.0</v>
      </c>
      <c r="K39" s="5">
        <v>4.0</v>
      </c>
      <c r="L39" s="5">
        <v>2.0</v>
      </c>
      <c r="M39" s="5">
        <v>5.0</v>
      </c>
      <c r="N39" s="5">
        <v>4.0</v>
      </c>
      <c r="O39" s="5">
        <v>2.0</v>
      </c>
      <c r="P39" s="5">
        <v>4.0</v>
      </c>
      <c r="Q39" s="5">
        <v>5.0</v>
      </c>
      <c r="R39" s="5">
        <v>5.0</v>
      </c>
      <c r="S39" s="5">
        <v>4.0</v>
      </c>
      <c r="T39" s="5">
        <v>3.0</v>
      </c>
      <c r="U39" s="5">
        <v>1.0</v>
      </c>
      <c r="V39" s="5">
        <v>4.0</v>
      </c>
      <c r="W39" s="5">
        <v>1.0</v>
      </c>
      <c r="X39" s="5">
        <v>4.0</v>
      </c>
      <c r="Y39" s="5">
        <v>5.0</v>
      </c>
      <c r="Z39" s="5">
        <v>5.0</v>
      </c>
    </row>
    <row r="40" ht="22.5" customHeight="1">
      <c r="A40" s="4">
        <v>45929.759742546295</v>
      </c>
      <c r="B40" s="5" t="s">
        <v>26</v>
      </c>
      <c r="C40" s="5" t="s">
        <v>27</v>
      </c>
      <c r="D40" s="5" t="s">
        <v>76</v>
      </c>
      <c r="E40" s="6" t="s">
        <v>52</v>
      </c>
      <c r="F40" s="5" t="s">
        <v>30</v>
      </c>
      <c r="G40" s="5" t="s">
        <v>46</v>
      </c>
      <c r="H40" s="5" t="s">
        <v>37</v>
      </c>
      <c r="I40" s="5">
        <v>3.0</v>
      </c>
      <c r="J40" s="5">
        <v>4.0</v>
      </c>
      <c r="K40" s="5">
        <v>3.0</v>
      </c>
      <c r="L40" s="5">
        <v>4.0</v>
      </c>
      <c r="M40" s="5">
        <v>4.0</v>
      </c>
      <c r="N40" s="5">
        <v>4.0</v>
      </c>
      <c r="O40" s="5">
        <v>4.0</v>
      </c>
      <c r="P40" s="5">
        <v>3.0</v>
      </c>
      <c r="Q40" s="5">
        <v>5.0</v>
      </c>
      <c r="R40" s="5">
        <v>5.0</v>
      </c>
      <c r="S40" s="5">
        <v>4.0</v>
      </c>
      <c r="T40" s="5">
        <v>4.0</v>
      </c>
      <c r="U40" s="5">
        <v>1.0</v>
      </c>
      <c r="V40" s="5">
        <v>3.0</v>
      </c>
      <c r="W40" s="5">
        <v>3.0</v>
      </c>
      <c r="X40" s="5">
        <v>4.0</v>
      </c>
      <c r="Y40" s="5">
        <v>5.0</v>
      </c>
      <c r="Z40" s="5">
        <v>4.0</v>
      </c>
    </row>
    <row r="41" ht="22.5" customHeight="1">
      <c r="A41" s="4">
        <v>45929.76967238426</v>
      </c>
      <c r="B41" s="5" t="s">
        <v>26</v>
      </c>
      <c r="C41" s="5" t="s">
        <v>33</v>
      </c>
      <c r="D41" s="5" t="s">
        <v>38</v>
      </c>
      <c r="E41" s="5" t="s">
        <v>29</v>
      </c>
      <c r="F41" s="5" t="s">
        <v>30</v>
      </c>
      <c r="G41" s="5" t="s">
        <v>77</v>
      </c>
      <c r="H41" s="5" t="s">
        <v>37</v>
      </c>
      <c r="I41" s="5">
        <v>4.0</v>
      </c>
      <c r="J41" s="5">
        <v>3.0</v>
      </c>
      <c r="K41" s="5">
        <v>4.0</v>
      </c>
      <c r="L41" s="5">
        <v>5.0</v>
      </c>
      <c r="M41" s="5">
        <v>5.0</v>
      </c>
      <c r="N41" s="5">
        <v>5.0</v>
      </c>
      <c r="O41" s="5">
        <v>4.0</v>
      </c>
      <c r="P41" s="5">
        <v>5.0</v>
      </c>
      <c r="Q41" s="5">
        <v>5.0</v>
      </c>
      <c r="R41" s="5">
        <v>5.0</v>
      </c>
      <c r="S41" s="5">
        <v>4.0</v>
      </c>
      <c r="T41" s="5">
        <v>2.0</v>
      </c>
      <c r="U41" s="5">
        <v>1.0</v>
      </c>
      <c r="V41" s="5">
        <v>2.0</v>
      </c>
      <c r="W41" s="5">
        <v>3.0</v>
      </c>
      <c r="X41" s="5">
        <v>5.0</v>
      </c>
      <c r="Y41" s="5">
        <v>5.0</v>
      </c>
      <c r="Z41" s="5">
        <v>5.0</v>
      </c>
    </row>
    <row r="42" ht="22.5" customHeight="1">
      <c r="A42" s="4">
        <v>45929.77058600694</v>
      </c>
      <c r="B42" s="5" t="s">
        <v>48</v>
      </c>
      <c r="C42" s="5" t="s">
        <v>33</v>
      </c>
      <c r="D42" s="5" t="s">
        <v>28</v>
      </c>
      <c r="E42" s="6" t="s">
        <v>34</v>
      </c>
      <c r="F42" s="6" t="s">
        <v>35</v>
      </c>
      <c r="G42" s="5" t="s">
        <v>78</v>
      </c>
      <c r="H42" s="5" t="s">
        <v>37</v>
      </c>
      <c r="I42" s="5">
        <v>4.0</v>
      </c>
      <c r="J42" s="5">
        <v>3.0</v>
      </c>
      <c r="K42" s="5">
        <v>3.0</v>
      </c>
      <c r="L42" s="5">
        <v>4.0</v>
      </c>
      <c r="M42" s="5">
        <v>5.0</v>
      </c>
      <c r="N42" s="5">
        <v>4.0</v>
      </c>
      <c r="O42" s="5">
        <v>5.0</v>
      </c>
      <c r="P42" s="5">
        <v>5.0</v>
      </c>
      <c r="Q42" s="5">
        <v>5.0</v>
      </c>
      <c r="R42" s="5">
        <v>5.0</v>
      </c>
      <c r="S42" s="5">
        <v>4.0</v>
      </c>
      <c r="T42" s="5">
        <v>3.0</v>
      </c>
      <c r="U42" s="5">
        <v>3.0</v>
      </c>
      <c r="V42" s="5">
        <v>3.0</v>
      </c>
      <c r="W42" s="5">
        <v>4.0</v>
      </c>
      <c r="X42" s="5">
        <v>4.0</v>
      </c>
      <c r="Y42" s="5">
        <v>4.0</v>
      </c>
      <c r="Z42" s="5">
        <v>4.0</v>
      </c>
    </row>
    <row r="43" ht="22.5" customHeight="1">
      <c r="A43" s="4">
        <v>45929.77228831018</v>
      </c>
      <c r="B43" s="5" t="s">
        <v>26</v>
      </c>
      <c r="C43" s="5" t="s">
        <v>33</v>
      </c>
      <c r="D43" s="5" t="s">
        <v>64</v>
      </c>
      <c r="E43" s="6" t="s">
        <v>34</v>
      </c>
      <c r="F43" s="6" t="s">
        <v>35</v>
      </c>
      <c r="G43" s="5" t="s">
        <v>46</v>
      </c>
      <c r="H43" s="5" t="s">
        <v>37</v>
      </c>
      <c r="I43" s="5">
        <v>5.0</v>
      </c>
      <c r="J43" s="5">
        <v>5.0</v>
      </c>
      <c r="K43" s="5">
        <v>5.0</v>
      </c>
      <c r="L43" s="5">
        <v>5.0</v>
      </c>
      <c r="M43" s="5">
        <v>5.0</v>
      </c>
      <c r="N43" s="5">
        <v>5.0</v>
      </c>
      <c r="O43" s="5">
        <v>5.0</v>
      </c>
      <c r="P43" s="5">
        <v>4.0</v>
      </c>
      <c r="Q43" s="5">
        <v>5.0</v>
      </c>
      <c r="R43" s="5">
        <v>5.0</v>
      </c>
      <c r="S43" s="5">
        <v>4.0</v>
      </c>
      <c r="T43" s="5">
        <v>3.0</v>
      </c>
      <c r="U43" s="5">
        <v>2.0</v>
      </c>
      <c r="V43" s="5">
        <v>2.0</v>
      </c>
      <c r="W43" s="5">
        <v>4.0</v>
      </c>
      <c r="X43" s="5">
        <v>4.0</v>
      </c>
      <c r="Y43" s="5">
        <v>5.0</v>
      </c>
      <c r="Z43" s="5">
        <v>4.0</v>
      </c>
    </row>
    <row r="44" ht="22.5" customHeight="1">
      <c r="A44" s="4">
        <v>45929.82658349537</v>
      </c>
      <c r="B44" s="5" t="s">
        <v>48</v>
      </c>
      <c r="C44" s="5" t="s">
        <v>33</v>
      </c>
      <c r="D44" s="5" t="s">
        <v>44</v>
      </c>
      <c r="E44" s="6" t="s">
        <v>34</v>
      </c>
      <c r="F44" s="6" t="s">
        <v>39</v>
      </c>
      <c r="G44" s="5" t="s">
        <v>53</v>
      </c>
      <c r="H44" s="5" t="s">
        <v>32</v>
      </c>
      <c r="I44" s="5">
        <v>5.0</v>
      </c>
      <c r="J44" s="5">
        <v>5.0</v>
      </c>
      <c r="K44" s="5">
        <v>4.0</v>
      </c>
      <c r="L44" s="5">
        <v>5.0</v>
      </c>
      <c r="M44" s="5">
        <v>3.0</v>
      </c>
      <c r="N44" s="5">
        <v>3.0</v>
      </c>
      <c r="O44" s="5">
        <v>5.0</v>
      </c>
      <c r="P44" s="5">
        <v>3.0</v>
      </c>
      <c r="Q44" s="5">
        <v>4.0</v>
      </c>
      <c r="R44" s="5">
        <v>3.0</v>
      </c>
      <c r="S44" s="5">
        <v>3.0</v>
      </c>
      <c r="T44" s="5">
        <v>2.0</v>
      </c>
      <c r="U44" s="5">
        <v>3.0</v>
      </c>
      <c r="V44" s="5">
        <v>4.0</v>
      </c>
      <c r="W44" s="5">
        <v>4.0</v>
      </c>
      <c r="X44" s="5">
        <v>4.0</v>
      </c>
      <c r="Y44" s="5">
        <v>4.0</v>
      </c>
      <c r="Z44" s="5">
        <v>4.0</v>
      </c>
    </row>
    <row r="45" ht="22.5" customHeight="1">
      <c r="A45" s="4">
        <v>45929.83803429398</v>
      </c>
      <c r="B45" s="5" t="s">
        <v>48</v>
      </c>
      <c r="C45" s="5" t="s">
        <v>27</v>
      </c>
      <c r="D45" s="5" t="s">
        <v>38</v>
      </c>
      <c r="E45" s="6" t="s">
        <v>52</v>
      </c>
      <c r="F45" s="5" t="s">
        <v>30</v>
      </c>
      <c r="G45" s="5" t="s">
        <v>79</v>
      </c>
      <c r="H45" s="5" t="s">
        <v>32</v>
      </c>
      <c r="I45" s="5">
        <v>5.0</v>
      </c>
      <c r="J45" s="5">
        <v>3.0</v>
      </c>
      <c r="K45" s="5">
        <v>3.0</v>
      </c>
      <c r="L45" s="5">
        <v>3.0</v>
      </c>
      <c r="M45" s="5">
        <v>4.0</v>
      </c>
      <c r="N45" s="5">
        <v>4.0</v>
      </c>
      <c r="O45" s="5">
        <v>4.0</v>
      </c>
      <c r="P45" s="5">
        <v>4.0</v>
      </c>
      <c r="Q45" s="5">
        <v>3.0</v>
      </c>
      <c r="R45" s="5">
        <v>3.0</v>
      </c>
      <c r="S45" s="5">
        <v>4.0</v>
      </c>
      <c r="T45" s="5">
        <v>2.0</v>
      </c>
      <c r="U45" s="5">
        <v>2.0</v>
      </c>
      <c r="V45" s="5">
        <v>2.0</v>
      </c>
      <c r="W45" s="5">
        <v>2.0</v>
      </c>
      <c r="X45" s="5">
        <v>3.0</v>
      </c>
      <c r="Y45" s="5">
        <v>3.0</v>
      </c>
      <c r="Z45" s="5">
        <v>3.0</v>
      </c>
    </row>
    <row r="46" ht="22.5" customHeight="1">
      <c r="A46" s="4">
        <v>45929.88506241898</v>
      </c>
      <c r="B46" s="5" t="s">
        <v>26</v>
      </c>
      <c r="C46" s="5" t="s">
        <v>33</v>
      </c>
      <c r="D46" s="5" t="s">
        <v>28</v>
      </c>
      <c r="E46" s="6" t="s">
        <v>52</v>
      </c>
      <c r="F46" s="6" t="s">
        <v>41</v>
      </c>
      <c r="G46" s="5" t="s">
        <v>57</v>
      </c>
      <c r="H46" s="5" t="s">
        <v>37</v>
      </c>
      <c r="I46" s="5">
        <v>4.0</v>
      </c>
      <c r="J46" s="5">
        <v>3.0</v>
      </c>
      <c r="K46" s="5">
        <v>2.0</v>
      </c>
      <c r="L46" s="5">
        <v>2.0</v>
      </c>
      <c r="M46" s="5">
        <v>4.0</v>
      </c>
      <c r="N46" s="5">
        <v>4.0</v>
      </c>
      <c r="O46" s="5">
        <v>4.0</v>
      </c>
      <c r="P46" s="5">
        <v>3.0</v>
      </c>
      <c r="Q46" s="5">
        <v>4.0</v>
      </c>
      <c r="R46" s="5">
        <v>4.0</v>
      </c>
      <c r="S46" s="5">
        <v>2.0</v>
      </c>
      <c r="T46" s="5">
        <v>2.0</v>
      </c>
      <c r="U46" s="5">
        <v>1.0</v>
      </c>
      <c r="V46" s="5">
        <v>1.0</v>
      </c>
      <c r="W46" s="5">
        <v>1.0</v>
      </c>
      <c r="X46" s="5">
        <v>2.0</v>
      </c>
      <c r="Y46" s="5">
        <v>2.0</v>
      </c>
      <c r="Z46" s="5">
        <v>2.0</v>
      </c>
    </row>
    <row r="47" ht="22.5" customHeight="1">
      <c r="A47" s="4">
        <v>45929.94525626158</v>
      </c>
      <c r="B47" s="5" t="s">
        <v>65</v>
      </c>
      <c r="C47" s="5" t="s">
        <v>33</v>
      </c>
      <c r="D47" s="5" t="s">
        <v>28</v>
      </c>
      <c r="E47" s="6" t="s">
        <v>34</v>
      </c>
      <c r="F47" s="6" t="s">
        <v>35</v>
      </c>
      <c r="G47" s="5" t="s">
        <v>78</v>
      </c>
      <c r="H47" s="5" t="s">
        <v>37</v>
      </c>
      <c r="I47" s="5">
        <v>3.0</v>
      </c>
      <c r="J47" s="5">
        <v>4.0</v>
      </c>
      <c r="K47" s="5">
        <v>3.0</v>
      </c>
      <c r="L47" s="5">
        <v>4.0</v>
      </c>
      <c r="M47" s="5">
        <v>5.0</v>
      </c>
      <c r="N47" s="5">
        <v>4.0</v>
      </c>
      <c r="O47" s="5">
        <v>4.0</v>
      </c>
      <c r="P47" s="5">
        <v>4.0</v>
      </c>
      <c r="Q47" s="5">
        <v>4.0</v>
      </c>
      <c r="R47" s="5">
        <v>4.0</v>
      </c>
      <c r="S47" s="5">
        <v>4.0</v>
      </c>
      <c r="T47" s="5">
        <v>3.0</v>
      </c>
      <c r="U47" s="5">
        <v>3.0</v>
      </c>
      <c r="V47" s="5">
        <v>3.0</v>
      </c>
      <c r="W47" s="5">
        <v>4.0</v>
      </c>
      <c r="X47" s="5">
        <v>4.0</v>
      </c>
      <c r="Y47" s="5">
        <v>4.0</v>
      </c>
      <c r="Z47" s="5">
        <v>4.0</v>
      </c>
    </row>
    <row r="48" ht="22.5" customHeight="1">
      <c r="A48" s="4">
        <v>45930.58732366898</v>
      </c>
      <c r="B48" s="5" t="s">
        <v>26</v>
      </c>
      <c r="C48" s="5" t="s">
        <v>33</v>
      </c>
      <c r="D48" s="5" t="s">
        <v>28</v>
      </c>
      <c r="E48" s="6" t="s">
        <v>34</v>
      </c>
      <c r="F48" s="6" t="s">
        <v>35</v>
      </c>
      <c r="G48" s="5" t="s">
        <v>80</v>
      </c>
      <c r="H48" s="5" t="s">
        <v>37</v>
      </c>
      <c r="I48" s="5">
        <v>2.0</v>
      </c>
      <c r="J48" s="5">
        <v>4.0</v>
      </c>
      <c r="K48" s="5">
        <v>1.0</v>
      </c>
      <c r="L48" s="5">
        <v>3.0</v>
      </c>
      <c r="M48" s="5">
        <v>5.0</v>
      </c>
      <c r="N48" s="5">
        <v>1.0</v>
      </c>
      <c r="O48" s="5">
        <v>5.0</v>
      </c>
      <c r="P48" s="5">
        <v>3.0</v>
      </c>
      <c r="Q48" s="5">
        <v>4.0</v>
      </c>
      <c r="R48" s="5">
        <v>1.0</v>
      </c>
      <c r="S48" s="5">
        <v>1.0</v>
      </c>
      <c r="T48" s="5">
        <v>1.0</v>
      </c>
      <c r="U48" s="5">
        <v>4.0</v>
      </c>
      <c r="V48" s="5">
        <v>1.0</v>
      </c>
      <c r="W48" s="5">
        <v>2.0</v>
      </c>
      <c r="X48" s="5">
        <v>1.0</v>
      </c>
      <c r="Y48" s="5">
        <v>5.0</v>
      </c>
      <c r="Z48" s="5">
        <v>3.0</v>
      </c>
    </row>
    <row r="49" ht="22.5" customHeight="1">
      <c r="A49" s="4">
        <v>45932.437920717595</v>
      </c>
      <c r="F49" s="6" t="s">
        <v>41</v>
      </c>
      <c r="G49" s="5" t="s">
        <v>81</v>
      </c>
      <c r="H49" s="5" t="s">
        <v>37</v>
      </c>
      <c r="I49" s="5">
        <v>5.0</v>
      </c>
      <c r="J49" s="5">
        <v>4.0</v>
      </c>
      <c r="K49" s="5">
        <v>4.0</v>
      </c>
      <c r="L49" s="5">
        <v>4.0</v>
      </c>
      <c r="M49" s="5">
        <v>5.0</v>
      </c>
      <c r="N49" s="5">
        <v>4.0</v>
      </c>
      <c r="O49" s="5">
        <v>4.0</v>
      </c>
      <c r="P49" s="5">
        <v>5.0</v>
      </c>
      <c r="Q49" s="5">
        <v>5.0</v>
      </c>
      <c r="R49" s="5">
        <v>4.0</v>
      </c>
      <c r="S49" s="5">
        <v>4.0</v>
      </c>
      <c r="T49" s="5">
        <v>3.0</v>
      </c>
      <c r="U49" s="5">
        <v>2.0</v>
      </c>
      <c r="V49" s="5">
        <v>2.0</v>
      </c>
      <c r="W49" s="5">
        <v>4.0</v>
      </c>
      <c r="X49" s="5">
        <v>4.0</v>
      </c>
      <c r="Y49" s="5">
        <v>5.0</v>
      </c>
      <c r="Z49" s="5">
        <v>4.0</v>
      </c>
    </row>
    <row r="50" ht="22.5" customHeight="1">
      <c r="A50" s="4">
        <v>45932.738391770836</v>
      </c>
      <c r="B50" s="5" t="s">
        <v>59</v>
      </c>
      <c r="C50" s="5" t="s">
        <v>27</v>
      </c>
      <c r="D50" s="5" t="s">
        <v>28</v>
      </c>
      <c r="E50" s="6" t="s">
        <v>34</v>
      </c>
      <c r="F50" s="6" t="s">
        <v>35</v>
      </c>
      <c r="G50" s="5" t="s">
        <v>42</v>
      </c>
      <c r="H50" s="5" t="s">
        <v>37</v>
      </c>
      <c r="I50" s="5">
        <v>3.0</v>
      </c>
      <c r="J50" s="5">
        <v>3.0</v>
      </c>
      <c r="K50" s="5">
        <v>4.0</v>
      </c>
      <c r="L50" s="5">
        <v>4.0</v>
      </c>
      <c r="M50" s="5">
        <v>4.0</v>
      </c>
      <c r="N50" s="5">
        <v>4.0</v>
      </c>
      <c r="O50" s="5">
        <v>4.0</v>
      </c>
      <c r="P50" s="5">
        <v>4.0</v>
      </c>
      <c r="Q50" s="5">
        <v>3.0</v>
      </c>
      <c r="R50" s="5">
        <v>3.0</v>
      </c>
      <c r="S50" s="5">
        <v>3.0</v>
      </c>
      <c r="T50" s="5">
        <v>4.0</v>
      </c>
      <c r="U50" s="5">
        <v>4.0</v>
      </c>
      <c r="V50" s="5">
        <v>4.0</v>
      </c>
      <c r="W50" s="5">
        <v>4.0</v>
      </c>
      <c r="X50" s="5">
        <v>4.0</v>
      </c>
      <c r="Y50" s="5">
        <v>4.0</v>
      </c>
      <c r="Z50" s="5">
        <v>4.0</v>
      </c>
    </row>
    <row r="51" ht="22.5" customHeight="1">
      <c r="A51" s="4">
        <v>45933.04635422454</v>
      </c>
      <c r="B51" s="5" t="s">
        <v>59</v>
      </c>
      <c r="C51" s="5" t="s">
        <v>27</v>
      </c>
      <c r="D51" s="5" t="s">
        <v>55</v>
      </c>
      <c r="E51" s="6" t="s">
        <v>34</v>
      </c>
      <c r="F51" s="6" t="s">
        <v>39</v>
      </c>
      <c r="G51" s="5" t="s">
        <v>82</v>
      </c>
      <c r="H51" s="5" t="s">
        <v>37</v>
      </c>
      <c r="I51" s="5">
        <v>5.0</v>
      </c>
      <c r="J51" s="5">
        <v>4.0</v>
      </c>
      <c r="K51" s="5">
        <v>4.0</v>
      </c>
      <c r="L51" s="5">
        <v>4.0</v>
      </c>
      <c r="M51" s="5">
        <v>5.0</v>
      </c>
      <c r="N51" s="5">
        <v>4.0</v>
      </c>
      <c r="O51" s="5">
        <v>4.0</v>
      </c>
      <c r="P51" s="5">
        <v>4.0</v>
      </c>
      <c r="Q51" s="5">
        <v>4.0</v>
      </c>
      <c r="R51" s="5">
        <v>4.0</v>
      </c>
      <c r="S51" s="5">
        <v>4.0</v>
      </c>
      <c r="T51" s="5">
        <v>4.0</v>
      </c>
      <c r="U51" s="5">
        <v>3.0</v>
      </c>
      <c r="V51" s="5">
        <v>4.0</v>
      </c>
      <c r="W51" s="5">
        <v>4.0</v>
      </c>
      <c r="X51" s="5">
        <v>4.0</v>
      </c>
      <c r="Y51" s="5">
        <v>4.0</v>
      </c>
      <c r="Z51" s="5">
        <v>3.0</v>
      </c>
    </row>
    <row r="52" ht="22.5" customHeight="1">
      <c r="A52" s="4">
        <v>45937.467363738426</v>
      </c>
      <c r="B52" s="5" t="s">
        <v>59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83</v>
      </c>
      <c r="H52" s="5" t="s">
        <v>32</v>
      </c>
      <c r="I52" s="5">
        <v>5.0</v>
      </c>
      <c r="J52" s="5">
        <v>5.0</v>
      </c>
      <c r="K52" s="5">
        <v>5.0</v>
      </c>
      <c r="L52" s="5">
        <v>5.0</v>
      </c>
      <c r="M52" s="5">
        <v>5.0</v>
      </c>
      <c r="N52" s="5">
        <v>5.0</v>
      </c>
      <c r="O52" s="5">
        <v>4.0</v>
      </c>
      <c r="P52" s="5">
        <v>4.0</v>
      </c>
      <c r="Q52" s="5">
        <v>5.0</v>
      </c>
      <c r="R52" s="5">
        <v>5.0</v>
      </c>
      <c r="S52" s="5">
        <v>5.0</v>
      </c>
      <c r="T52" s="5">
        <v>4.0</v>
      </c>
      <c r="U52" s="5">
        <v>5.0</v>
      </c>
      <c r="V52" s="5">
        <v>5.0</v>
      </c>
      <c r="W52" s="5">
        <v>5.0</v>
      </c>
      <c r="X52" s="5">
        <v>5.0</v>
      </c>
      <c r="Y52" s="5">
        <v>5.0</v>
      </c>
      <c r="Z52" s="5">
        <v>5.0</v>
      </c>
    </row>
    <row r="55">
      <c r="A55" s="7"/>
      <c r="B55" s="7"/>
      <c r="C55" s="7"/>
      <c r="D55" s="7"/>
    </row>
    <row r="63">
      <c r="B63" s="8"/>
    </row>
    <row r="66">
      <c r="B66" s="9"/>
      <c r="C66" s="9"/>
      <c r="D66" s="9"/>
      <c r="E66" s="9"/>
      <c r="F66" s="9"/>
      <c r="G66" s="9"/>
    </row>
    <row r="67">
      <c r="C67" s="10"/>
      <c r="D67" s="10"/>
      <c r="E67" s="10"/>
      <c r="F67" s="10"/>
      <c r="G67" s="10"/>
      <c r="H67" s="10"/>
    </row>
    <row r="68">
      <c r="C68" s="11"/>
      <c r="D68" s="12"/>
      <c r="H68" s="13"/>
    </row>
    <row r="69">
      <c r="C69" s="11"/>
      <c r="D69" s="12"/>
      <c r="H69" s="13"/>
    </row>
    <row r="70">
      <c r="C70" s="11"/>
      <c r="D70" s="12"/>
      <c r="H70" s="13"/>
    </row>
    <row r="71">
      <c r="C71" s="11"/>
      <c r="D71" s="12"/>
      <c r="H71" s="13"/>
    </row>
    <row r="72">
      <c r="C72" s="11"/>
      <c r="D72" s="12"/>
      <c r="H72" s="13"/>
    </row>
    <row r="73">
      <c r="C73" s="11"/>
      <c r="D73" s="12"/>
      <c r="H73" s="13"/>
    </row>
    <row r="74">
      <c r="C74" s="11"/>
      <c r="D74" s="12"/>
      <c r="H74" s="13"/>
    </row>
    <row r="75">
      <c r="C75" s="11"/>
      <c r="D75" s="12"/>
      <c r="H75" s="1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0"/>
    <col customWidth="1" min="3" max="3" width="13.13"/>
    <col customWidth="1" min="4" max="5" width="15.63"/>
    <col customWidth="1" min="6" max="6" width="52.25"/>
    <col customWidth="1" min="7" max="7" width="36.13"/>
    <col customWidth="1" min="8" max="8" width="23.38"/>
    <col customWidth="1" min="9" max="9" width="42.63"/>
    <col customWidth="1" min="10" max="10" width="24.13"/>
    <col customWidth="1" min="11" max="11" width="82.63"/>
    <col customWidth="1" min="12" max="12" width="33.25"/>
    <col customWidth="1" min="13" max="13" width="39.75"/>
    <col customWidth="1" min="14" max="14" width="48.0"/>
    <col customWidth="1" min="15" max="15" width="44.13"/>
    <col customWidth="1" min="16" max="16" width="55.38"/>
    <col customWidth="1" min="17" max="17" width="37.5"/>
    <col customWidth="1" min="18" max="18" width="67.13"/>
    <col customWidth="1" min="19" max="19" width="40.38"/>
    <col customWidth="1" min="20" max="20" width="41.38"/>
    <col customWidth="1" min="21" max="21" width="65.25"/>
    <col customWidth="1" min="22" max="22" width="50.63"/>
    <col customWidth="1" min="23" max="23" width="71.63"/>
    <col customWidth="1" min="24" max="24" width="53.5"/>
    <col customWidth="1" min="25" max="25" width="58.88"/>
    <col customWidth="1" min="26" max="26" width="58.75"/>
    <col customWidth="1" min="27" max="27" width="62.38"/>
    <col customWidth="1" min="28" max="28" width="61.63"/>
    <col customWidth="1" min="29" max="29" width="57.13"/>
    <col customWidth="1" min="30" max="30" width="16.38"/>
    <col customWidth="1" min="31" max="31" width="14.63"/>
    <col customWidth="1" min="32" max="32" width="18.38"/>
    <col customWidth="1" min="33" max="33" width="15.0"/>
    <col customWidth="1" min="34" max="34" width="15.5"/>
    <col customWidth="1" min="35" max="35" width="14.63"/>
    <col customWidth="1" min="36" max="36" width="19.25"/>
    <col customWidth="1" min="37" max="37" width="16.38"/>
    <col customWidth="1" min="38" max="38" width="21.13"/>
  </cols>
  <sheetData>
    <row r="1" ht="22.5" customHeight="1">
      <c r="A1" s="1" t="s">
        <v>84</v>
      </c>
      <c r="B1" s="1" t="s">
        <v>0</v>
      </c>
      <c r="C1" s="1" t="s">
        <v>1</v>
      </c>
      <c r="D1" s="1" t="s">
        <v>85</v>
      </c>
      <c r="E1" s="1" t="s">
        <v>2</v>
      </c>
      <c r="F1" s="1" t="s">
        <v>3</v>
      </c>
      <c r="G1" s="1" t="s">
        <v>4</v>
      </c>
      <c r="H1" s="1" t="s">
        <v>86</v>
      </c>
      <c r="I1" s="1" t="s">
        <v>5</v>
      </c>
      <c r="J1" s="1" t="s">
        <v>87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4" t="s">
        <v>88</v>
      </c>
      <c r="AF1" s="14" t="s">
        <v>89</v>
      </c>
      <c r="AG1" s="14" t="s">
        <v>90</v>
      </c>
      <c r="AH1" s="14" t="s">
        <v>91</v>
      </c>
      <c r="AI1" s="14" t="s">
        <v>92</v>
      </c>
      <c r="AJ1" s="14" t="s">
        <v>93</v>
      </c>
      <c r="AK1" s="14" t="s">
        <v>94</v>
      </c>
      <c r="AL1" s="14" t="s">
        <v>95</v>
      </c>
    </row>
    <row r="2" ht="22.5" customHeight="1">
      <c r="A2" s="3">
        <f t="shared" ref="A2:A52" si="1">ROW()-1</f>
        <v>1</v>
      </c>
      <c r="B2" s="2">
        <v>45929.44278545139</v>
      </c>
      <c r="C2" s="3" t="s">
        <v>26</v>
      </c>
      <c r="D2" s="3">
        <f t="shared" ref="D2:D52" si="2">IF(C2="","",
IF(C2="27+",29,
(VALUE(LEFT(C2,SEARCH("-",C2)-1))+
VALUE(MID(C2,SEARCH("-",C2)+1,10)))/2))</f>
        <v>22</v>
      </c>
      <c r="E2" s="3" t="s">
        <v>27</v>
      </c>
      <c r="F2" s="3" t="s">
        <v>28</v>
      </c>
      <c r="G2" s="3" t="s">
        <v>29</v>
      </c>
      <c r="H2" s="3">
        <f t="shared" ref="H2:H52" si="3">IF(G2="","",IF(G2="Daily",7,
IF(G2="0",0,
(VALUE(LEFT(G2,SEARCH("-",G2)-1))+
VALUE(MID(G2,SEARCH("-",G2)+1,10)))/2)))</f>
        <v>7</v>
      </c>
      <c r="I2" s="3" t="s">
        <v>96</v>
      </c>
      <c r="J2" s="3">
        <f t="shared" ref="J2:J52" si="4">IF(I2="","",IF(I2="10+",11,
(VALUE(LEFT(I2,SEARCH("-",I2)-1))+
VALUE(MID(I2,SEARCH("-",I2)+1,10)))/2))</f>
        <v>11</v>
      </c>
      <c r="K2" s="3" t="s">
        <v>31</v>
      </c>
      <c r="L2" s="3" t="s">
        <v>32</v>
      </c>
      <c r="M2" s="3">
        <v>4.0</v>
      </c>
      <c r="N2" s="3">
        <v>4.0</v>
      </c>
      <c r="O2" s="3">
        <v>4.0</v>
      </c>
      <c r="P2" s="3">
        <v>4.0</v>
      </c>
      <c r="Q2" s="3">
        <v>5.0</v>
      </c>
      <c r="R2" s="3">
        <v>4.0</v>
      </c>
      <c r="S2" s="3">
        <v>5.0</v>
      </c>
      <c r="T2" s="3">
        <v>5.0</v>
      </c>
      <c r="U2" s="3">
        <v>5.0</v>
      </c>
      <c r="V2" s="3">
        <v>4.0</v>
      </c>
      <c r="W2" s="3">
        <v>4.0</v>
      </c>
      <c r="X2" s="3">
        <v>4.0</v>
      </c>
      <c r="Y2" s="3">
        <v>4.0</v>
      </c>
      <c r="Z2" s="3">
        <v>3.0</v>
      </c>
      <c r="AA2" s="3">
        <v>3.0</v>
      </c>
      <c r="AB2" s="3">
        <v>4.0</v>
      </c>
      <c r="AC2" s="3">
        <v>5.0</v>
      </c>
      <c r="AD2" s="3">
        <v>4.0</v>
      </c>
      <c r="AE2" s="15">
        <f t="shared" ref="AE2:AE52" si="5">AVERAGE(M2,N2)</f>
        <v>4</v>
      </c>
      <c r="AF2" s="15">
        <f t="shared" ref="AF2:AF52" si="6">AVERAGE(O2,P2)</f>
        <v>4</v>
      </c>
      <c r="AG2" s="15">
        <f t="shared" ref="AG2:AG52" si="7">AVERAGE(Q2,R2)</f>
        <v>4.5</v>
      </c>
      <c r="AH2" s="15">
        <f t="shared" ref="AH2:AH52" si="8">AVERAGE(S2,T2)</f>
        <v>5</v>
      </c>
      <c r="AI2" s="15">
        <f t="shared" ref="AI2:AI52" si="9">AVERAGE(U2,V2)</f>
        <v>4.5</v>
      </c>
      <c r="AJ2" s="15">
        <f t="shared" ref="AJ2:AJ52" si="10">AVERAGE(W2,X2)</f>
        <v>4</v>
      </c>
      <c r="AK2" s="15">
        <f t="shared" ref="AK2:AK52" si="11">AVERAGE(Y2,Z2,AA2)</f>
        <v>3.333333333</v>
      </c>
      <c r="AL2" s="15">
        <f t="shared" ref="AL2:AL52" si="12">AVERAGE(AB2,AC2,AD2)</f>
        <v>4.333333333</v>
      </c>
    </row>
    <row r="3" ht="22.5" customHeight="1">
      <c r="A3" s="3">
        <f t="shared" si="1"/>
        <v>2</v>
      </c>
      <c r="B3" s="4">
        <v>45929.443269270836</v>
      </c>
      <c r="C3" s="5" t="s">
        <v>26</v>
      </c>
      <c r="D3" s="3">
        <f t="shared" si="2"/>
        <v>22</v>
      </c>
      <c r="E3" s="5" t="s">
        <v>33</v>
      </c>
      <c r="F3" s="5" t="s">
        <v>28</v>
      </c>
      <c r="G3" s="6" t="s">
        <v>34</v>
      </c>
      <c r="H3" s="3">
        <f t="shared" si="3"/>
        <v>3.5</v>
      </c>
      <c r="I3" s="6" t="s">
        <v>35</v>
      </c>
      <c r="J3" s="3">
        <f t="shared" si="4"/>
        <v>5</v>
      </c>
      <c r="K3" s="5" t="s">
        <v>36</v>
      </c>
      <c r="L3" s="5" t="s">
        <v>37</v>
      </c>
      <c r="M3" s="5">
        <v>4.0</v>
      </c>
      <c r="N3" s="5">
        <v>3.0</v>
      </c>
      <c r="O3" s="5">
        <v>5.0</v>
      </c>
      <c r="P3" s="5">
        <v>5.0</v>
      </c>
      <c r="Q3" s="5">
        <v>3.0</v>
      </c>
      <c r="R3" s="5">
        <v>4.0</v>
      </c>
      <c r="S3" s="5">
        <v>4.0</v>
      </c>
      <c r="T3" s="5">
        <v>5.0</v>
      </c>
      <c r="U3" s="5">
        <v>5.0</v>
      </c>
      <c r="V3" s="5">
        <v>4.0</v>
      </c>
      <c r="W3" s="5">
        <v>4.0</v>
      </c>
      <c r="X3" s="5">
        <v>4.0</v>
      </c>
      <c r="Y3" s="5">
        <v>1.0</v>
      </c>
      <c r="Z3" s="5">
        <v>1.0</v>
      </c>
      <c r="AA3" s="5">
        <v>2.0</v>
      </c>
      <c r="AB3" s="5">
        <v>3.0</v>
      </c>
      <c r="AC3" s="5">
        <v>5.0</v>
      </c>
      <c r="AD3" s="5">
        <v>4.0</v>
      </c>
      <c r="AE3" s="15">
        <f t="shared" si="5"/>
        <v>3.5</v>
      </c>
      <c r="AF3" s="15">
        <f t="shared" si="6"/>
        <v>5</v>
      </c>
      <c r="AG3" s="15">
        <f t="shared" si="7"/>
        <v>3.5</v>
      </c>
      <c r="AH3" s="15">
        <f t="shared" si="8"/>
        <v>4.5</v>
      </c>
      <c r="AI3" s="15">
        <f t="shared" si="9"/>
        <v>4.5</v>
      </c>
      <c r="AJ3" s="15">
        <f t="shared" si="10"/>
        <v>4</v>
      </c>
      <c r="AK3" s="15">
        <f t="shared" si="11"/>
        <v>1.333333333</v>
      </c>
      <c r="AL3" s="15">
        <f t="shared" si="12"/>
        <v>4</v>
      </c>
    </row>
    <row r="4" ht="22.5" customHeight="1">
      <c r="A4" s="3">
        <f t="shared" si="1"/>
        <v>3</v>
      </c>
      <c r="B4" s="4">
        <v>45929.52164965278</v>
      </c>
      <c r="C4" s="5" t="s">
        <v>26</v>
      </c>
      <c r="D4" s="3">
        <f t="shared" si="2"/>
        <v>22</v>
      </c>
      <c r="E4" s="5" t="s">
        <v>27</v>
      </c>
      <c r="F4" s="5" t="s">
        <v>38</v>
      </c>
      <c r="G4" s="6" t="s">
        <v>34</v>
      </c>
      <c r="H4" s="3">
        <f t="shared" si="3"/>
        <v>3.5</v>
      </c>
      <c r="I4" s="6" t="s">
        <v>39</v>
      </c>
      <c r="J4" s="3">
        <f t="shared" si="4"/>
        <v>2</v>
      </c>
      <c r="K4" s="5" t="s">
        <v>40</v>
      </c>
      <c r="L4" s="5" t="s">
        <v>32</v>
      </c>
      <c r="M4" s="5">
        <v>4.0</v>
      </c>
      <c r="N4" s="5">
        <v>2.0</v>
      </c>
      <c r="O4" s="5">
        <v>3.0</v>
      </c>
      <c r="P4" s="5">
        <v>3.0</v>
      </c>
      <c r="Q4" s="5">
        <v>4.0</v>
      </c>
      <c r="R4" s="5">
        <v>3.0</v>
      </c>
      <c r="S4" s="5">
        <v>3.0</v>
      </c>
      <c r="T4" s="5">
        <v>2.0</v>
      </c>
      <c r="U4" s="5">
        <v>5.0</v>
      </c>
      <c r="V4" s="5">
        <v>5.0</v>
      </c>
      <c r="W4" s="5">
        <v>4.0</v>
      </c>
      <c r="X4" s="5">
        <v>2.0</v>
      </c>
      <c r="Y4" s="5">
        <v>2.0</v>
      </c>
      <c r="Z4" s="5">
        <v>2.0</v>
      </c>
      <c r="AA4" s="5">
        <v>4.0</v>
      </c>
      <c r="AB4" s="5">
        <v>4.0</v>
      </c>
      <c r="AC4" s="5">
        <v>4.0</v>
      </c>
      <c r="AD4" s="5">
        <v>4.0</v>
      </c>
      <c r="AE4" s="15">
        <f t="shared" si="5"/>
        <v>3</v>
      </c>
      <c r="AF4" s="15">
        <f t="shared" si="6"/>
        <v>3</v>
      </c>
      <c r="AG4" s="15">
        <f t="shared" si="7"/>
        <v>3.5</v>
      </c>
      <c r="AH4" s="15">
        <f t="shared" si="8"/>
        <v>2.5</v>
      </c>
      <c r="AI4" s="15">
        <f t="shared" si="9"/>
        <v>5</v>
      </c>
      <c r="AJ4" s="15">
        <f t="shared" si="10"/>
        <v>3</v>
      </c>
      <c r="AK4" s="15">
        <f t="shared" si="11"/>
        <v>2.666666667</v>
      </c>
      <c r="AL4" s="15">
        <f t="shared" si="12"/>
        <v>4</v>
      </c>
    </row>
    <row r="5" ht="22.5" customHeight="1">
      <c r="A5" s="3">
        <f t="shared" si="1"/>
        <v>4</v>
      </c>
      <c r="B5" s="4">
        <v>45929.68375810185</v>
      </c>
      <c r="C5" s="5" t="s">
        <v>26</v>
      </c>
      <c r="D5" s="3">
        <f t="shared" si="2"/>
        <v>22</v>
      </c>
      <c r="E5" s="5" t="s">
        <v>27</v>
      </c>
      <c r="F5" s="5" t="s">
        <v>28</v>
      </c>
      <c r="G5" s="6" t="s">
        <v>34</v>
      </c>
      <c r="H5" s="3">
        <f t="shared" si="3"/>
        <v>3.5</v>
      </c>
      <c r="I5" s="6" t="s">
        <v>41</v>
      </c>
      <c r="J5" s="3">
        <f t="shared" si="4"/>
        <v>8</v>
      </c>
      <c r="K5" s="5" t="s">
        <v>42</v>
      </c>
      <c r="L5" s="5" t="s">
        <v>37</v>
      </c>
      <c r="M5" s="5">
        <v>4.0</v>
      </c>
      <c r="N5" s="5">
        <v>4.0</v>
      </c>
      <c r="O5" s="5">
        <v>3.0</v>
      </c>
      <c r="P5" s="5">
        <v>4.0</v>
      </c>
      <c r="Q5" s="5">
        <v>4.0</v>
      </c>
      <c r="R5" s="5">
        <v>3.0</v>
      </c>
      <c r="S5" s="5">
        <v>4.0</v>
      </c>
      <c r="T5" s="5">
        <v>5.0</v>
      </c>
      <c r="U5" s="5">
        <v>4.0</v>
      </c>
      <c r="V5" s="5">
        <v>4.0</v>
      </c>
      <c r="W5" s="5">
        <v>4.0</v>
      </c>
      <c r="X5" s="5">
        <v>4.0</v>
      </c>
      <c r="Y5" s="5">
        <v>3.0</v>
      </c>
      <c r="Z5" s="5">
        <v>3.0</v>
      </c>
      <c r="AA5" s="5">
        <v>4.0</v>
      </c>
      <c r="AB5" s="5">
        <v>3.0</v>
      </c>
      <c r="AC5" s="5">
        <v>4.0</v>
      </c>
      <c r="AD5" s="5">
        <v>4.0</v>
      </c>
      <c r="AE5" s="15">
        <f t="shared" si="5"/>
        <v>4</v>
      </c>
      <c r="AF5" s="15">
        <f t="shared" si="6"/>
        <v>3.5</v>
      </c>
      <c r="AG5" s="15">
        <f t="shared" si="7"/>
        <v>3.5</v>
      </c>
      <c r="AH5" s="15">
        <f t="shared" si="8"/>
        <v>4.5</v>
      </c>
      <c r="AI5" s="15">
        <f t="shared" si="9"/>
        <v>4</v>
      </c>
      <c r="AJ5" s="15">
        <f t="shared" si="10"/>
        <v>4</v>
      </c>
      <c r="AK5" s="15">
        <f t="shared" si="11"/>
        <v>3.333333333</v>
      </c>
      <c r="AL5" s="15">
        <f t="shared" si="12"/>
        <v>3.666666667</v>
      </c>
    </row>
    <row r="6" ht="22.5" customHeight="1">
      <c r="A6" s="3">
        <f t="shared" si="1"/>
        <v>5</v>
      </c>
      <c r="B6" s="4">
        <v>45929.68381984954</v>
      </c>
      <c r="C6" s="5" t="s">
        <v>26</v>
      </c>
      <c r="D6" s="3">
        <f t="shared" si="2"/>
        <v>22</v>
      </c>
      <c r="E6" s="5" t="s">
        <v>33</v>
      </c>
      <c r="F6" s="5" t="s">
        <v>28</v>
      </c>
      <c r="G6" s="6" t="s">
        <v>34</v>
      </c>
      <c r="H6" s="3">
        <f t="shared" si="3"/>
        <v>3.5</v>
      </c>
      <c r="I6" s="6" t="s">
        <v>35</v>
      </c>
      <c r="J6" s="3">
        <f t="shared" si="4"/>
        <v>5</v>
      </c>
      <c r="K6" s="5" t="s">
        <v>43</v>
      </c>
      <c r="L6" s="5" t="s">
        <v>32</v>
      </c>
      <c r="M6" s="5">
        <v>4.0</v>
      </c>
      <c r="N6" s="5">
        <v>4.0</v>
      </c>
      <c r="O6" s="5">
        <v>4.0</v>
      </c>
      <c r="P6" s="5">
        <v>3.0</v>
      </c>
      <c r="Q6" s="5">
        <v>5.0</v>
      </c>
      <c r="R6" s="5">
        <v>4.0</v>
      </c>
      <c r="S6" s="5">
        <v>5.0</v>
      </c>
      <c r="T6" s="5">
        <v>5.0</v>
      </c>
      <c r="U6" s="5">
        <v>5.0</v>
      </c>
      <c r="V6" s="5">
        <v>5.0</v>
      </c>
      <c r="W6" s="5">
        <v>4.0</v>
      </c>
      <c r="X6" s="5">
        <v>4.0</v>
      </c>
      <c r="Y6" s="5">
        <v>4.0</v>
      </c>
      <c r="Z6" s="5">
        <v>4.0</v>
      </c>
      <c r="AA6" s="5">
        <v>4.0</v>
      </c>
      <c r="AB6" s="5">
        <v>4.0</v>
      </c>
      <c r="AC6" s="5">
        <v>4.0</v>
      </c>
      <c r="AE6" s="15">
        <f t="shared" si="5"/>
        <v>4</v>
      </c>
      <c r="AF6" s="15">
        <f t="shared" si="6"/>
        <v>3.5</v>
      </c>
      <c r="AG6" s="15">
        <f t="shared" si="7"/>
        <v>4.5</v>
      </c>
      <c r="AH6" s="15">
        <f t="shared" si="8"/>
        <v>5</v>
      </c>
      <c r="AI6" s="15">
        <f t="shared" si="9"/>
        <v>5</v>
      </c>
      <c r="AJ6" s="15">
        <f t="shared" si="10"/>
        <v>4</v>
      </c>
      <c r="AK6" s="15">
        <f t="shared" si="11"/>
        <v>4</v>
      </c>
      <c r="AL6" s="15">
        <f t="shared" si="12"/>
        <v>4</v>
      </c>
    </row>
    <row r="7" ht="22.5" customHeight="1">
      <c r="A7" s="3">
        <f t="shared" si="1"/>
        <v>6</v>
      </c>
      <c r="B7" s="4">
        <v>45929.684381342595</v>
      </c>
      <c r="C7" s="5" t="s">
        <v>26</v>
      </c>
      <c r="D7" s="3">
        <f t="shared" si="2"/>
        <v>22</v>
      </c>
      <c r="E7" s="5" t="s">
        <v>33</v>
      </c>
      <c r="F7" s="5" t="s">
        <v>44</v>
      </c>
      <c r="G7" s="6" t="s">
        <v>45</v>
      </c>
      <c r="H7" s="3">
        <f t="shared" si="3"/>
        <v>1.5</v>
      </c>
      <c r="I7" s="6" t="s">
        <v>35</v>
      </c>
      <c r="J7" s="3">
        <f t="shared" si="4"/>
        <v>5</v>
      </c>
      <c r="K7" s="5" t="s">
        <v>46</v>
      </c>
      <c r="L7" s="5" t="s">
        <v>32</v>
      </c>
      <c r="M7" s="5">
        <v>5.0</v>
      </c>
      <c r="N7" s="5">
        <v>4.0</v>
      </c>
      <c r="O7" s="5">
        <v>3.0</v>
      </c>
      <c r="P7" s="5">
        <v>4.0</v>
      </c>
      <c r="Q7" s="5">
        <v>5.0</v>
      </c>
      <c r="R7" s="5">
        <v>4.0</v>
      </c>
      <c r="S7" s="5">
        <v>5.0</v>
      </c>
      <c r="T7" s="5">
        <v>2.0</v>
      </c>
      <c r="U7" s="5">
        <v>5.0</v>
      </c>
      <c r="V7" s="5">
        <v>5.0</v>
      </c>
      <c r="W7" s="5">
        <v>4.0</v>
      </c>
      <c r="X7" s="5">
        <v>4.0</v>
      </c>
      <c r="Y7" s="5">
        <v>4.0</v>
      </c>
      <c r="Z7" s="5">
        <v>4.0</v>
      </c>
      <c r="AA7" s="5">
        <v>3.0</v>
      </c>
      <c r="AB7" s="5">
        <v>3.0</v>
      </c>
      <c r="AC7" s="5">
        <v>5.0</v>
      </c>
      <c r="AD7" s="5">
        <v>4.0</v>
      </c>
      <c r="AE7" s="15">
        <f t="shared" si="5"/>
        <v>4.5</v>
      </c>
      <c r="AF7" s="15">
        <f t="shared" si="6"/>
        <v>3.5</v>
      </c>
      <c r="AG7" s="15">
        <f t="shared" si="7"/>
        <v>4.5</v>
      </c>
      <c r="AH7" s="15">
        <f t="shared" si="8"/>
        <v>3.5</v>
      </c>
      <c r="AI7" s="15">
        <f t="shared" si="9"/>
        <v>5</v>
      </c>
      <c r="AJ7" s="15">
        <f t="shared" si="10"/>
        <v>4</v>
      </c>
      <c r="AK7" s="15">
        <f t="shared" si="11"/>
        <v>3.666666667</v>
      </c>
      <c r="AL7" s="15">
        <f t="shared" si="12"/>
        <v>4</v>
      </c>
    </row>
    <row r="8" ht="22.5" customHeight="1">
      <c r="A8" s="3">
        <f t="shared" si="1"/>
        <v>7</v>
      </c>
      <c r="B8" s="4">
        <v>45929.68454797454</v>
      </c>
      <c r="C8" s="5" t="s">
        <v>26</v>
      </c>
      <c r="D8" s="3">
        <f t="shared" si="2"/>
        <v>22</v>
      </c>
      <c r="E8" s="5" t="s">
        <v>27</v>
      </c>
      <c r="F8" s="5" t="s">
        <v>28</v>
      </c>
      <c r="G8" s="6" t="s">
        <v>45</v>
      </c>
      <c r="H8" s="3">
        <f t="shared" si="3"/>
        <v>1.5</v>
      </c>
      <c r="I8" s="6" t="s">
        <v>39</v>
      </c>
      <c r="J8" s="3">
        <f t="shared" si="4"/>
        <v>2</v>
      </c>
      <c r="K8" s="5" t="s">
        <v>47</v>
      </c>
      <c r="L8" s="5" t="s">
        <v>37</v>
      </c>
      <c r="M8" s="5">
        <v>5.0</v>
      </c>
      <c r="N8" s="5">
        <v>4.0</v>
      </c>
      <c r="O8" s="5">
        <v>4.0</v>
      </c>
      <c r="P8" s="5">
        <v>5.0</v>
      </c>
      <c r="Q8" s="5">
        <v>5.0</v>
      </c>
      <c r="R8" s="5">
        <v>4.0</v>
      </c>
      <c r="S8" s="5">
        <v>5.0</v>
      </c>
      <c r="T8" s="5">
        <v>5.0</v>
      </c>
      <c r="U8" s="5">
        <v>5.0</v>
      </c>
      <c r="V8" s="5">
        <v>5.0</v>
      </c>
      <c r="W8" s="5">
        <v>5.0</v>
      </c>
      <c r="X8" s="5">
        <v>4.0</v>
      </c>
      <c r="Y8" s="5">
        <v>3.0</v>
      </c>
      <c r="Z8" s="5">
        <v>2.0</v>
      </c>
      <c r="AA8" s="5">
        <v>2.0</v>
      </c>
      <c r="AB8" s="5">
        <v>4.0</v>
      </c>
      <c r="AC8" s="5">
        <v>5.0</v>
      </c>
      <c r="AD8" s="5">
        <v>3.0</v>
      </c>
      <c r="AE8" s="15">
        <f t="shared" si="5"/>
        <v>4.5</v>
      </c>
      <c r="AF8" s="15">
        <f t="shared" si="6"/>
        <v>4.5</v>
      </c>
      <c r="AG8" s="15">
        <f t="shared" si="7"/>
        <v>4.5</v>
      </c>
      <c r="AH8" s="15">
        <f t="shared" si="8"/>
        <v>5</v>
      </c>
      <c r="AI8" s="15">
        <f t="shared" si="9"/>
        <v>5</v>
      </c>
      <c r="AJ8" s="15">
        <f t="shared" si="10"/>
        <v>4.5</v>
      </c>
      <c r="AK8" s="15">
        <f t="shared" si="11"/>
        <v>2.333333333</v>
      </c>
      <c r="AL8" s="15">
        <f t="shared" si="12"/>
        <v>4</v>
      </c>
    </row>
    <row r="9" ht="22.5" customHeight="1">
      <c r="A9" s="3">
        <f t="shared" si="1"/>
        <v>8</v>
      </c>
      <c r="B9" s="4">
        <v>45929.6846371412</v>
      </c>
      <c r="C9" s="5" t="s">
        <v>48</v>
      </c>
      <c r="D9" s="3">
        <f t="shared" si="2"/>
        <v>25</v>
      </c>
      <c r="E9" s="5" t="s">
        <v>27</v>
      </c>
      <c r="F9" s="5" t="s">
        <v>28</v>
      </c>
      <c r="G9" s="6" t="s">
        <v>45</v>
      </c>
      <c r="H9" s="3">
        <f t="shared" si="3"/>
        <v>1.5</v>
      </c>
      <c r="I9" s="6" t="s">
        <v>39</v>
      </c>
      <c r="J9" s="3">
        <f t="shared" si="4"/>
        <v>2</v>
      </c>
      <c r="K9" s="5" t="s">
        <v>49</v>
      </c>
      <c r="L9" s="5" t="s">
        <v>37</v>
      </c>
      <c r="M9" s="5">
        <v>4.0</v>
      </c>
      <c r="N9" s="5">
        <v>4.0</v>
      </c>
      <c r="O9" s="5">
        <v>4.0</v>
      </c>
      <c r="P9" s="5">
        <v>4.0</v>
      </c>
      <c r="Q9" s="5">
        <v>5.0</v>
      </c>
      <c r="R9" s="5">
        <v>3.0</v>
      </c>
      <c r="S9" s="5">
        <v>4.0</v>
      </c>
      <c r="T9" s="5">
        <v>5.0</v>
      </c>
      <c r="U9" s="5">
        <v>3.0</v>
      </c>
      <c r="V9" s="5">
        <v>4.0</v>
      </c>
      <c r="W9" s="5">
        <v>3.0</v>
      </c>
      <c r="X9" s="5">
        <v>3.0</v>
      </c>
      <c r="Y9" s="5">
        <v>1.0</v>
      </c>
      <c r="Z9" s="5">
        <v>1.0</v>
      </c>
      <c r="AA9" s="5">
        <v>1.0</v>
      </c>
      <c r="AB9" s="5">
        <v>3.0</v>
      </c>
      <c r="AC9" s="5">
        <v>5.0</v>
      </c>
      <c r="AD9" s="5">
        <v>4.0</v>
      </c>
      <c r="AE9" s="15">
        <f t="shared" si="5"/>
        <v>4</v>
      </c>
      <c r="AF9" s="15">
        <f t="shared" si="6"/>
        <v>4</v>
      </c>
      <c r="AG9" s="15">
        <f t="shared" si="7"/>
        <v>4</v>
      </c>
      <c r="AH9" s="15">
        <f t="shared" si="8"/>
        <v>4.5</v>
      </c>
      <c r="AI9" s="15">
        <f t="shared" si="9"/>
        <v>3.5</v>
      </c>
      <c r="AJ9" s="15">
        <f t="shared" si="10"/>
        <v>3</v>
      </c>
      <c r="AK9" s="15">
        <f t="shared" si="11"/>
        <v>1</v>
      </c>
      <c r="AL9" s="15">
        <f t="shared" si="12"/>
        <v>4</v>
      </c>
    </row>
    <row r="10" ht="22.5" customHeight="1">
      <c r="A10" s="3">
        <f t="shared" si="1"/>
        <v>9</v>
      </c>
      <c r="B10" s="4">
        <v>45929.684676770834</v>
      </c>
      <c r="C10" s="5" t="s">
        <v>26</v>
      </c>
      <c r="D10" s="3">
        <f t="shared" si="2"/>
        <v>22</v>
      </c>
      <c r="E10" s="5" t="s">
        <v>33</v>
      </c>
      <c r="F10" s="5" t="s">
        <v>28</v>
      </c>
      <c r="G10" s="6" t="s">
        <v>45</v>
      </c>
      <c r="H10" s="3">
        <f t="shared" si="3"/>
        <v>1.5</v>
      </c>
      <c r="I10" s="6" t="s">
        <v>39</v>
      </c>
      <c r="J10" s="3">
        <f t="shared" si="4"/>
        <v>2</v>
      </c>
      <c r="K10" s="5" t="s">
        <v>50</v>
      </c>
      <c r="L10" s="5" t="s">
        <v>37</v>
      </c>
      <c r="M10" s="5">
        <v>4.0</v>
      </c>
      <c r="N10" s="5">
        <v>3.0</v>
      </c>
      <c r="O10" s="5">
        <v>3.0</v>
      </c>
      <c r="P10" s="5">
        <v>4.0</v>
      </c>
      <c r="Q10" s="5">
        <v>5.0</v>
      </c>
      <c r="R10" s="5">
        <v>4.0</v>
      </c>
      <c r="S10" s="5">
        <v>5.0</v>
      </c>
      <c r="T10" s="5">
        <v>3.0</v>
      </c>
      <c r="U10" s="5">
        <v>4.0</v>
      </c>
      <c r="V10" s="5">
        <v>4.0</v>
      </c>
      <c r="W10" s="5">
        <v>2.0</v>
      </c>
      <c r="X10" s="5">
        <v>2.0</v>
      </c>
      <c r="Y10" s="5">
        <v>2.0</v>
      </c>
      <c r="Z10" s="5">
        <v>2.0</v>
      </c>
      <c r="AA10" s="5">
        <v>5.0</v>
      </c>
      <c r="AB10" s="5">
        <v>4.0</v>
      </c>
      <c r="AC10" s="5">
        <v>5.0</v>
      </c>
      <c r="AD10" s="5">
        <v>3.0</v>
      </c>
      <c r="AE10" s="15">
        <f t="shared" si="5"/>
        <v>3.5</v>
      </c>
      <c r="AF10" s="15">
        <f t="shared" si="6"/>
        <v>3.5</v>
      </c>
      <c r="AG10" s="15">
        <f t="shared" si="7"/>
        <v>4.5</v>
      </c>
      <c r="AH10" s="15">
        <f t="shared" si="8"/>
        <v>4</v>
      </c>
      <c r="AI10" s="15">
        <f t="shared" si="9"/>
        <v>4</v>
      </c>
      <c r="AJ10" s="15">
        <f t="shared" si="10"/>
        <v>2</v>
      </c>
      <c r="AK10" s="15">
        <f t="shared" si="11"/>
        <v>3</v>
      </c>
      <c r="AL10" s="15">
        <f t="shared" si="12"/>
        <v>4</v>
      </c>
    </row>
    <row r="11" ht="22.5" customHeight="1">
      <c r="A11" s="3">
        <f t="shared" si="1"/>
        <v>10</v>
      </c>
      <c r="B11" s="4">
        <v>45929.68493081018</v>
      </c>
      <c r="C11" s="5" t="s">
        <v>26</v>
      </c>
      <c r="D11" s="3">
        <f t="shared" si="2"/>
        <v>22</v>
      </c>
      <c r="E11" s="5" t="s">
        <v>27</v>
      </c>
      <c r="F11" s="5" t="s">
        <v>28</v>
      </c>
      <c r="G11" s="6" t="s">
        <v>34</v>
      </c>
      <c r="H11" s="3">
        <f t="shared" si="3"/>
        <v>3.5</v>
      </c>
      <c r="I11" s="6" t="s">
        <v>41</v>
      </c>
      <c r="J11" s="3">
        <f t="shared" si="4"/>
        <v>8</v>
      </c>
      <c r="K11" s="5" t="s">
        <v>51</v>
      </c>
      <c r="L11" s="5" t="s">
        <v>32</v>
      </c>
      <c r="M11" s="5">
        <v>4.0</v>
      </c>
      <c r="N11" s="5">
        <v>4.0</v>
      </c>
      <c r="O11" s="5">
        <v>4.0</v>
      </c>
      <c r="P11" s="5">
        <v>4.0</v>
      </c>
      <c r="Q11" s="5">
        <v>5.0</v>
      </c>
      <c r="R11" s="5">
        <v>4.0</v>
      </c>
      <c r="S11" s="5">
        <v>5.0</v>
      </c>
      <c r="T11" s="5">
        <v>3.0</v>
      </c>
      <c r="U11" s="5">
        <v>5.0</v>
      </c>
      <c r="V11" s="5">
        <v>5.0</v>
      </c>
      <c r="W11" s="5">
        <v>5.0</v>
      </c>
      <c r="X11" s="5">
        <v>4.0</v>
      </c>
      <c r="Y11" s="5">
        <v>3.0</v>
      </c>
      <c r="Z11" s="5">
        <v>4.0</v>
      </c>
      <c r="AA11" s="5">
        <v>4.0</v>
      </c>
      <c r="AB11" s="5">
        <v>4.0</v>
      </c>
      <c r="AC11" s="5">
        <v>5.0</v>
      </c>
      <c r="AD11" s="5">
        <v>5.0</v>
      </c>
      <c r="AE11" s="15">
        <f t="shared" si="5"/>
        <v>4</v>
      </c>
      <c r="AF11" s="15">
        <f t="shared" si="6"/>
        <v>4</v>
      </c>
      <c r="AG11" s="15">
        <f t="shared" si="7"/>
        <v>4.5</v>
      </c>
      <c r="AH11" s="15">
        <f t="shared" si="8"/>
        <v>4</v>
      </c>
      <c r="AI11" s="15">
        <f t="shared" si="9"/>
        <v>5</v>
      </c>
      <c r="AJ11" s="15">
        <f t="shared" si="10"/>
        <v>4.5</v>
      </c>
      <c r="AK11" s="15">
        <f t="shared" si="11"/>
        <v>3.666666667</v>
      </c>
      <c r="AL11" s="15">
        <f t="shared" si="12"/>
        <v>4.666666667</v>
      </c>
    </row>
    <row r="12" ht="22.5" customHeight="1">
      <c r="A12" s="3">
        <f t="shared" si="1"/>
        <v>11</v>
      </c>
      <c r="B12" s="4">
        <v>45929.685608796295</v>
      </c>
      <c r="C12" s="5" t="s">
        <v>48</v>
      </c>
      <c r="D12" s="3">
        <f t="shared" si="2"/>
        <v>25</v>
      </c>
      <c r="E12" s="5" t="s">
        <v>27</v>
      </c>
      <c r="F12" s="5" t="s">
        <v>28</v>
      </c>
      <c r="G12" s="6" t="s">
        <v>52</v>
      </c>
      <c r="H12" s="3">
        <f t="shared" si="3"/>
        <v>5.5</v>
      </c>
      <c r="I12" s="6" t="s">
        <v>39</v>
      </c>
      <c r="J12" s="3">
        <f t="shared" si="4"/>
        <v>2</v>
      </c>
      <c r="K12" s="5" t="s">
        <v>42</v>
      </c>
      <c r="L12" s="5" t="s">
        <v>32</v>
      </c>
      <c r="M12" s="5">
        <v>4.0</v>
      </c>
      <c r="N12" s="5">
        <v>4.0</v>
      </c>
      <c r="O12" s="5">
        <v>4.0</v>
      </c>
      <c r="P12" s="5">
        <v>4.0</v>
      </c>
      <c r="Q12" s="5">
        <v>5.0</v>
      </c>
      <c r="R12" s="5">
        <v>4.0</v>
      </c>
      <c r="S12" s="5">
        <v>5.0</v>
      </c>
      <c r="T12" s="5">
        <v>2.0</v>
      </c>
      <c r="U12" s="5">
        <v>5.0</v>
      </c>
      <c r="V12" s="5">
        <v>5.0</v>
      </c>
      <c r="W12" s="5">
        <v>4.0</v>
      </c>
      <c r="X12" s="5">
        <v>4.0</v>
      </c>
      <c r="Y12" s="5">
        <v>5.0</v>
      </c>
      <c r="Z12" s="5">
        <v>4.0</v>
      </c>
      <c r="AA12" s="5">
        <v>4.0</v>
      </c>
      <c r="AB12" s="5">
        <v>4.0</v>
      </c>
      <c r="AC12" s="5">
        <v>5.0</v>
      </c>
      <c r="AD12" s="5">
        <v>5.0</v>
      </c>
      <c r="AE12" s="15">
        <f t="shared" si="5"/>
        <v>4</v>
      </c>
      <c r="AF12" s="15">
        <f t="shared" si="6"/>
        <v>4</v>
      </c>
      <c r="AG12" s="15">
        <f t="shared" si="7"/>
        <v>4.5</v>
      </c>
      <c r="AH12" s="15">
        <f t="shared" si="8"/>
        <v>3.5</v>
      </c>
      <c r="AI12" s="15">
        <f t="shared" si="9"/>
        <v>5</v>
      </c>
      <c r="AJ12" s="15">
        <f t="shared" si="10"/>
        <v>4</v>
      </c>
      <c r="AK12" s="15">
        <f t="shared" si="11"/>
        <v>4.333333333</v>
      </c>
      <c r="AL12" s="15">
        <f t="shared" si="12"/>
        <v>4.666666667</v>
      </c>
    </row>
    <row r="13" ht="22.5" customHeight="1">
      <c r="A13" s="3">
        <f t="shared" si="1"/>
        <v>12</v>
      </c>
      <c r="B13" s="4">
        <v>45929.68707688658</v>
      </c>
      <c r="C13" s="5" t="s">
        <v>26</v>
      </c>
      <c r="D13" s="3">
        <f t="shared" si="2"/>
        <v>22</v>
      </c>
      <c r="E13" s="5" t="s">
        <v>33</v>
      </c>
      <c r="F13" s="5" t="s">
        <v>28</v>
      </c>
      <c r="G13" s="6" t="s">
        <v>34</v>
      </c>
      <c r="H13" s="3">
        <f t="shared" si="3"/>
        <v>3.5</v>
      </c>
      <c r="I13" s="6" t="s">
        <v>39</v>
      </c>
      <c r="J13" s="3">
        <f t="shared" si="4"/>
        <v>2</v>
      </c>
      <c r="K13" s="5" t="s">
        <v>53</v>
      </c>
      <c r="L13" s="5" t="s">
        <v>37</v>
      </c>
      <c r="M13" s="5">
        <v>4.0</v>
      </c>
      <c r="N13" s="5">
        <v>4.0</v>
      </c>
      <c r="O13" s="5">
        <v>4.0</v>
      </c>
      <c r="P13" s="5">
        <v>4.0</v>
      </c>
      <c r="Q13" s="5">
        <v>4.0</v>
      </c>
      <c r="R13" s="5">
        <v>4.0</v>
      </c>
      <c r="S13" s="5">
        <v>4.0</v>
      </c>
      <c r="T13" s="5">
        <v>3.0</v>
      </c>
      <c r="U13" s="5">
        <v>5.0</v>
      </c>
      <c r="V13" s="5">
        <v>3.0</v>
      </c>
      <c r="W13" s="5">
        <v>4.0</v>
      </c>
      <c r="X13" s="5">
        <v>3.0</v>
      </c>
      <c r="Y13" s="5">
        <v>1.0</v>
      </c>
      <c r="Z13" s="5">
        <v>2.0</v>
      </c>
      <c r="AA13" s="5">
        <v>2.0</v>
      </c>
      <c r="AB13" s="5">
        <v>4.0</v>
      </c>
      <c r="AC13" s="5">
        <v>5.0</v>
      </c>
      <c r="AD13" s="5">
        <v>3.0</v>
      </c>
      <c r="AE13" s="15">
        <f t="shared" si="5"/>
        <v>4</v>
      </c>
      <c r="AF13" s="15">
        <f t="shared" si="6"/>
        <v>4</v>
      </c>
      <c r="AG13" s="15">
        <f t="shared" si="7"/>
        <v>4</v>
      </c>
      <c r="AH13" s="15">
        <f t="shared" si="8"/>
        <v>3.5</v>
      </c>
      <c r="AI13" s="15">
        <f t="shared" si="9"/>
        <v>4</v>
      </c>
      <c r="AJ13" s="15">
        <f t="shared" si="10"/>
        <v>3.5</v>
      </c>
      <c r="AK13" s="15">
        <f t="shared" si="11"/>
        <v>1.666666667</v>
      </c>
      <c r="AL13" s="15">
        <f t="shared" si="12"/>
        <v>4</v>
      </c>
    </row>
    <row r="14" ht="22.5" customHeight="1">
      <c r="A14" s="3">
        <f t="shared" si="1"/>
        <v>13</v>
      </c>
      <c r="B14" s="4">
        <v>45929.687104641205</v>
      </c>
      <c r="C14" s="5" t="s">
        <v>48</v>
      </c>
      <c r="D14" s="3">
        <f t="shared" si="2"/>
        <v>25</v>
      </c>
      <c r="E14" s="5" t="s">
        <v>33</v>
      </c>
      <c r="F14" s="5" t="s">
        <v>54</v>
      </c>
      <c r="G14" s="6" t="s">
        <v>34</v>
      </c>
      <c r="H14" s="3">
        <f t="shared" si="3"/>
        <v>3.5</v>
      </c>
      <c r="I14" s="6" t="s">
        <v>41</v>
      </c>
      <c r="J14" s="3">
        <f t="shared" si="4"/>
        <v>8</v>
      </c>
      <c r="K14" s="5" t="s">
        <v>51</v>
      </c>
      <c r="L14" s="5" t="s">
        <v>37</v>
      </c>
      <c r="M14" s="5">
        <v>5.0</v>
      </c>
      <c r="N14" s="5">
        <v>4.0</v>
      </c>
      <c r="O14" s="5">
        <v>4.0</v>
      </c>
      <c r="P14" s="5">
        <v>5.0</v>
      </c>
      <c r="Q14" s="5">
        <v>5.0</v>
      </c>
      <c r="R14" s="5">
        <v>4.0</v>
      </c>
      <c r="S14" s="5">
        <v>5.0</v>
      </c>
      <c r="T14" s="5">
        <v>4.0</v>
      </c>
      <c r="U14" s="5">
        <v>5.0</v>
      </c>
      <c r="V14" s="5">
        <v>5.0</v>
      </c>
      <c r="W14" s="5">
        <v>4.0</v>
      </c>
      <c r="X14" s="5">
        <v>3.0</v>
      </c>
      <c r="Y14" s="5">
        <v>3.0</v>
      </c>
      <c r="Z14" s="5">
        <v>4.0</v>
      </c>
      <c r="AA14" s="5">
        <v>3.0</v>
      </c>
      <c r="AB14" s="5">
        <v>4.0</v>
      </c>
      <c r="AC14" s="5">
        <v>5.0</v>
      </c>
      <c r="AD14" s="5">
        <v>4.0</v>
      </c>
      <c r="AE14" s="15">
        <f t="shared" si="5"/>
        <v>4.5</v>
      </c>
      <c r="AF14" s="15">
        <f t="shared" si="6"/>
        <v>4.5</v>
      </c>
      <c r="AG14" s="15">
        <f t="shared" si="7"/>
        <v>4.5</v>
      </c>
      <c r="AH14" s="15">
        <f t="shared" si="8"/>
        <v>4.5</v>
      </c>
      <c r="AI14" s="15">
        <f t="shared" si="9"/>
        <v>5</v>
      </c>
      <c r="AJ14" s="15">
        <f t="shared" si="10"/>
        <v>3.5</v>
      </c>
      <c r="AK14" s="15">
        <f t="shared" si="11"/>
        <v>3.333333333</v>
      </c>
      <c r="AL14" s="15">
        <f t="shared" si="12"/>
        <v>4.333333333</v>
      </c>
    </row>
    <row r="15" ht="22.5" customHeight="1">
      <c r="A15" s="3">
        <f t="shared" si="1"/>
        <v>14</v>
      </c>
      <c r="B15" s="4">
        <v>45929.68790655093</v>
      </c>
      <c r="C15" s="5" t="s">
        <v>26</v>
      </c>
      <c r="D15" s="3">
        <f t="shared" si="2"/>
        <v>22</v>
      </c>
      <c r="E15" s="5" t="s">
        <v>27</v>
      </c>
      <c r="F15" s="5" t="s">
        <v>55</v>
      </c>
      <c r="G15" s="6" t="s">
        <v>52</v>
      </c>
      <c r="H15" s="3">
        <f t="shared" si="3"/>
        <v>5.5</v>
      </c>
      <c r="I15" s="5" t="s">
        <v>96</v>
      </c>
      <c r="J15" s="3">
        <f t="shared" si="4"/>
        <v>11</v>
      </c>
      <c r="K15" s="5" t="s">
        <v>56</v>
      </c>
      <c r="L15" s="5" t="s">
        <v>32</v>
      </c>
      <c r="M15" s="5">
        <v>4.0</v>
      </c>
      <c r="N15" s="5">
        <v>4.0</v>
      </c>
      <c r="O15" s="5">
        <v>3.0</v>
      </c>
      <c r="P15" s="5">
        <v>3.0</v>
      </c>
      <c r="Q15" s="5">
        <v>5.0</v>
      </c>
      <c r="R15" s="5">
        <v>3.0</v>
      </c>
      <c r="S15" s="5">
        <v>4.0</v>
      </c>
      <c r="T15" s="5">
        <v>4.0</v>
      </c>
      <c r="U15" s="5">
        <v>5.0</v>
      </c>
      <c r="V15" s="5">
        <v>5.0</v>
      </c>
      <c r="W15" s="5">
        <v>3.0</v>
      </c>
      <c r="X15" s="5">
        <v>3.0</v>
      </c>
      <c r="Y15" s="5">
        <v>1.0</v>
      </c>
      <c r="Z15" s="5">
        <v>1.0</v>
      </c>
      <c r="AA15" s="5">
        <v>5.0</v>
      </c>
      <c r="AB15" s="5">
        <v>3.0</v>
      </c>
      <c r="AC15" s="5">
        <v>5.0</v>
      </c>
      <c r="AD15" s="5">
        <v>4.0</v>
      </c>
      <c r="AE15" s="15">
        <f t="shared" si="5"/>
        <v>4</v>
      </c>
      <c r="AF15" s="15">
        <f t="shared" si="6"/>
        <v>3</v>
      </c>
      <c r="AG15" s="15">
        <f t="shared" si="7"/>
        <v>4</v>
      </c>
      <c r="AH15" s="15">
        <f t="shared" si="8"/>
        <v>4</v>
      </c>
      <c r="AI15" s="15">
        <f t="shared" si="9"/>
        <v>5</v>
      </c>
      <c r="AJ15" s="15">
        <f t="shared" si="10"/>
        <v>3</v>
      </c>
      <c r="AK15" s="15">
        <f t="shared" si="11"/>
        <v>2.333333333</v>
      </c>
      <c r="AL15" s="15">
        <f t="shared" si="12"/>
        <v>4</v>
      </c>
    </row>
    <row r="16" ht="22.5" customHeight="1">
      <c r="A16" s="3">
        <f t="shared" si="1"/>
        <v>15</v>
      </c>
      <c r="B16" s="4">
        <v>45929.690315520835</v>
      </c>
      <c r="C16" s="5" t="s">
        <v>26</v>
      </c>
      <c r="D16" s="3">
        <f t="shared" si="2"/>
        <v>22</v>
      </c>
      <c r="E16" s="5" t="s">
        <v>27</v>
      </c>
      <c r="F16" s="5" t="s">
        <v>28</v>
      </c>
      <c r="G16" s="6" t="s">
        <v>34</v>
      </c>
      <c r="H16" s="3">
        <f t="shared" si="3"/>
        <v>3.5</v>
      </c>
      <c r="I16" s="6" t="s">
        <v>35</v>
      </c>
      <c r="J16" s="3">
        <f t="shared" si="4"/>
        <v>5</v>
      </c>
      <c r="K16" s="5" t="s">
        <v>57</v>
      </c>
      <c r="L16" s="5" t="s">
        <v>32</v>
      </c>
      <c r="M16" s="5">
        <v>5.0</v>
      </c>
      <c r="N16" s="5">
        <v>4.0</v>
      </c>
      <c r="O16" s="5">
        <v>4.0</v>
      </c>
      <c r="P16" s="5">
        <v>4.0</v>
      </c>
      <c r="Q16" s="5">
        <v>5.0</v>
      </c>
      <c r="R16" s="5">
        <v>4.0</v>
      </c>
      <c r="S16" s="5">
        <v>5.0</v>
      </c>
      <c r="T16" s="5">
        <v>4.0</v>
      </c>
      <c r="U16" s="5">
        <v>5.0</v>
      </c>
      <c r="V16" s="5">
        <v>5.0</v>
      </c>
      <c r="W16" s="5">
        <v>4.0</v>
      </c>
      <c r="X16" s="5">
        <v>2.0</v>
      </c>
      <c r="Y16" s="5">
        <v>3.0</v>
      </c>
      <c r="Z16" s="5">
        <v>3.0</v>
      </c>
      <c r="AA16" s="5">
        <v>3.0</v>
      </c>
      <c r="AB16" s="5">
        <v>4.0</v>
      </c>
      <c r="AC16" s="5">
        <v>5.0</v>
      </c>
      <c r="AD16" s="5">
        <v>4.0</v>
      </c>
      <c r="AE16" s="15">
        <f t="shared" si="5"/>
        <v>4.5</v>
      </c>
      <c r="AF16" s="15">
        <f t="shared" si="6"/>
        <v>4</v>
      </c>
      <c r="AG16" s="15">
        <f t="shared" si="7"/>
        <v>4.5</v>
      </c>
      <c r="AH16" s="15">
        <f t="shared" si="8"/>
        <v>4.5</v>
      </c>
      <c r="AI16" s="15">
        <f t="shared" si="9"/>
        <v>5</v>
      </c>
      <c r="AJ16" s="15">
        <f t="shared" si="10"/>
        <v>3</v>
      </c>
      <c r="AK16" s="15">
        <f t="shared" si="11"/>
        <v>3</v>
      </c>
      <c r="AL16" s="15">
        <f t="shared" si="12"/>
        <v>4.333333333</v>
      </c>
    </row>
    <row r="17" ht="22.5" customHeight="1">
      <c r="A17" s="3">
        <f t="shared" si="1"/>
        <v>16</v>
      </c>
      <c r="B17" s="4">
        <v>45929.690345532406</v>
      </c>
      <c r="C17" s="5" t="s">
        <v>26</v>
      </c>
      <c r="D17" s="3">
        <f t="shared" si="2"/>
        <v>22</v>
      </c>
      <c r="E17" s="5" t="s">
        <v>27</v>
      </c>
      <c r="F17" s="5" t="s">
        <v>55</v>
      </c>
      <c r="G17" s="6" t="s">
        <v>34</v>
      </c>
      <c r="H17" s="3">
        <f t="shared" si="3"/>
        <v>3.5</v>
      </c>
      <c r="I17" s="6" t="s">
        <v>35</v>
      </c>
      <c r="J17" s="3">
        <f t="shared" si="4"/>
        <v>5</v>
      </c>
      <c r="K17" s="5" t="s">
        <v>58</v>
      </c>
      <c r="L17" s="5" t="s">
        <v>37</v>
      </c>
      <c r="M17" s="5">
        <v>4.0</v>
      </c>
      <c r="N17" s="5">
        <v>3.0</v>
      </c>
      <c r="O17" s="5">
        <v>4.0</v>
      </c>
      <c r="P17" s="5">
        <v>3.0</v>
      </c>
      <c r="Q17" s="5">
        <v>4.0</v>
      </c>
      <c r="R17" s="5">
        <v>4.0</v>
      </c>
      <c r="S17" s="5">
        <v>3.0</v>
      </c>
      <c r="T17" s="5">
        <v>3.0</v>
      </c>
      <c r="U17" s="5">
        <v>5.0</v>
      </c>
      <c r="V17" s="5">
        <v>5.0</v>
      </c>
      <c r="W17" s="5">
        <v>3.0</v>
      </c>
      <c r="X17" s="5">
        <v>3.0</v>
      </c>
      <c r="Y17" s="5">
        <v>2.0</v>
      </c>
      <c r="Z17" s="5">
        <v>4.0</v>
      </c>
      <c r="AA17" s="5">
        <v>3.0</v>
      </c>
      <c r="AB17" s="5">
        <v>4.0</v>
      </c>
      <c r="AC17" s="5">
        <v>5.0</v>
      </c>
      <c r="AD17" s="5">
        <v>4.0</v>
      </c>
      <c r="AE17" s="15">
        <f t="shared" si="5"/>
        <v>3.5</v>
      </c>
      <c r="AF17" s="15">
        <f t="shared" si="6"/>
        <v>3.5</v>
      </c>
      <c r="AG17" s="15">
        <f t="shared" si="7"/>
        <v>4</v>
      </c>
      <c r="AH17" s="15">
        <f t="shared" si="8"/>
        <v>3</v>
      </c>
      <c r="AI17" s="15">
        <f t="shared" si="9"/>
        <v>5</v>
      </c>
      <c r="AJ17" s="15">
        <f t="shared" si="10"/>
        <v>3</v>
      </c>
      <c r="AK17" s="15">
        <f t="shared" si="11"/>
        <v>3</v>
      </c>
      <c r="AL17" s="15">
        <f t="shared" si="12"/>
        <v>4.333333333</v>
      </c>
    </row>
    <row r="18" ht="22.5" customHeight="1">
      <c r="A18" s="3">
        <f t="shared" si="1"/>
        <v>17</v>
      </c>
      <c r="B18" s="4">
        <v>45929.74173835648</v>
      </c>
      <c r="C18" s="5" t="s">
        <v>59</v>
      </c>
      <c r="D18" s="3">
        <f t="shared" si="2"/>
        <v>29</v>
      </c>
      <c r="E18" s="5" t="s">
        <v>33</v>
      </c>
      <c r="F18" s="5" t="s">
        <v>28</v>
      </c>
      <c r="G18" s="6" t="s">
        <v>34</v>
      </c>
      <c r="H18" s="3">
        <f t="shared" si="3"/>
        <v>3.5</v>
      </c>
      <c r="I18" s="6" t="s">
        <v>39</v>
      </c>
      <c r="J18" s="3">
        <f t="shared" si="4"/>
        <v>2</v>
      </c>
      <c r="K18" s="5" t="s">
        <v>60</v>
      </c>
      <c r="L18" s="5" t="s">
        <v>37</v>
      </c>
      <c r="M18" s="5">
        <v>4.0</v>
      </c>
      <c r="N18" s="5">
        <v>4.0</v>
      </c>
      <c r="O18" s="5">
        <v>4.0</v>
      </c>
      <c r="P18" s="5">
        <v>4.0</v>
      </c>
      <c r="Q18" s="5">
        <v>5.0</v>
      </c>
      <c r="R18" s="5">
        <v>3.0</v>
      </c>
      <c r="S18" s="5">
        <v>5.0</v>
      </c>
      <c r="T18" s="5">
        <v>5.0</v>
      </c>
      <c r="U18" s="5">
        <v>3.0</v>
      </c>
      <c r="V18" s="5">
        <v>4.0</v>
      </c>
      <c r="W18" s="5">
        <v>3.0</v>
      </c>
      <c r="X18" s="5">
        <v>3.0</v>
      </c>
      <c r="Y18" s="5">
        <v>3.0</v>
      </c>
      <c r="Z18" s="5">
        <v>3.0</v>
      </c>
      <c r="AA18" s="5">
        <v>3.0</v>
      </c>
      <c r="AB18" s="5">
        <v>3.0</v>
      </c>
      <c r="AC18" s="5">
        <v>3.0</v>
      </c>
      <c r="AD18" s="5">
        <v>3.0</v>
      </c>
      <c r="AE18" s="15">
        <f t="shared" si="5"/>
        <v>4</v>
      </c>
      <c r="AF18" s="15">
        <f t="shared" si="6"/>
        <v>4</v>
      </c>
      <c r="AG18" s="15">
        <f t="shared" si="7"/>
        <v>4</v>
      </c>
      <c r="AH18" s="15">
        <f t="shared" si="8"/>
        <v>5</v>
      </c>
      <c r="AI18" s="15">
        <f t="shared" si="9"/>
        <v>3.5</v>
      </c>
      <c r="AJ18" s="15">
        <f t="shared" si="10"/>
        <v>3</v>
      </c>
      <c r="AK18" s="15">
        <f t="shared" si="11"/>
        <v>3</v>
      </c>
      <c r="AL18" s="15">
        <f t="shared" si="12"/>
        <v>3</v>
      </c>
    </row>
    <row r="19" ht="22.5" customHeight="1">
      <c r="A19" s="3">
        <f t="shared" si="1"/>
        <v>18</v>
      </c>
      <c r="B19" s="4">
        <v>45929.74389153935</v>
      </c>
      <c r="C19" s="5" t="s">
        <v>48</v>
      </c>
      <c r="D19" s="3">
        <f t="shared" si="2"/>
        <v>25</v>
      </c>
      <c r="E19" s="5" t="s">
        <v>33</v>
      </c>
      <c r="F19" s="5" t="s">
        <v>61</v>
      </c>
      <c r="G19" s="6" t="s">
        <v>45</v>
      </c>
      <c r="H19" s="3">
        <f t="shared" si="3"/>
        <v>1.5</v>
      </c>
      <c r="I19" s="6" t="s">
        <v>39</v>
      </c>
      <c r="J19" s="3">
        <f t="shared" si="4"/>
        <v>2</v>
      </c>
      <c r="K19" s="5" t="s">
        <v>62</v>
      </c>
      <c r="L19" s="5" t="s">
        <v>37</v>
      </c>
      <c r="M19" s="5">
        <v>5.0</v>
      </c>
      <c r="N19" s="5">
        <v>5.0</v>
      </c>
      <c r="O19" s="5">
        <v>4.0</v>
      </c>
      <c r="P19" s="5">
        <v>4.0</v>
      </c>
      <c r="Q19" s="5">
        <v>4.0</v>
      </c>
      <c r="R19" s="5">
        <v>4.0</v>
      </c>
      <c r="S19" s="5">
        <v>5.0</v>
      </c>
      <c r="T19" s="5">
        <v>5.0</v>
      </c>
      <c r="U19" s="5">
        <v>4.0</v>
      </c>
      <c r="V19" s="5">
        <v>4.0</v>
      </c>
      <c r="W19" s="5">
        <v>4.0</v>
      </c>
      <c r="X19" s="5">
        <v>4.0</v>
      </c>
      <c r="Y19" s="5">
        <v>4.0</v>
      </c>
      <c r="Z19" s="5">
        <v>4.0</v>
      </c>
      <c r="AA19" s="5">
        <v>4.0</v>
      </c>
      <c r="AB19" s="5">
        <v>5.0</v>
      </c>
      <c r="AC19" s="5">
        <v>5.0</v>
      </c>
      <c r="AD19" s="5">
        <v>4.0</v>
      </c>
      <c r="AE19" s="15">
        <f t="shared" si="5"/>
        <v>5</v>
      </c>
      <c r="AF19" s="15">
        <f t="shared" si="6"/>
        <v>4</v>
      </c>
      <c r="AG19" s="15">
        <f t="shared" si="7"/>
        <v>4</v>
      </c>
      <c r="AH19" s="15">
        <f t="shared" si="8"/>
        <v>5</v>
      </c>
      <c r="AI19" s="15">
        <f t="shared" si="9"/>
        <v>4</v>
      </c>
      <c r="AJ19" s="15">
        <f t="shared" si="10"/>
        <v>4</v>
      </c>
      <c r="AK19" s="15">
        <f t="shared" si="11"/>
        <v>4</v>
      </c>
      <c r="AL19" s="15">
        <f t="shared" si="12"/>
        <v>4.666666667</v>
      </c>
    </row>
    <row r="20" ht="22.5" customHeight="1">
      <c r="A20" s="3">
        <f t="shared" si="1"/>
        <v>19</v>
      </c>
      <c r="B20" s="4">
        <v>45929.744050775465</v>
      </c>
      <c r="C20" s="5" t="s">
        <v>48</v>
      </c>
      <c r="D20" s="3">
        <f t="shared" si="2"/>
        <v>25</v>
      </c>
      <c r="E20" s="5" t="s">
        <v>27</v>
      </c>
      <c r="F20" s="5" t="s">
        <v>28</v>
      </c>
      <c r="G20" s="6" t="s">
        <v>34</v>
      </c>
      <c r="H20" s="3">
        <f t="shared" si="3"/>
        <v>3.5</v>
      </c>
      <c r="I20" s="6" t="s">
        <v>35</v>
      </c>
      <c r="J20" s="3">
        <f t="shared" si="4"/>
        <v>5</v>
      </c>
      <c r="K20" s="5" t="s">
        <v>63</v>
      </c>
      <c r="L20" s="5" t="s">
        <v>32</v>
      </c>
      <c r="M20" s="5">
        <v>5.0</v>
      </c>
      <c r="N20" s="5">
        <v>4.0</v>
      </c>
      <c r="O20" s="5">
        <v>5.0</v>
      </c>
      <c r="P20" s="5">
        <v>5.0</v>
      </c>
      <c r="Q20" s="5">
        <v>5.0</v>
      </c>
      <c r="R20" s="5">
        <v>5.0</v>
      </c>
      <c r="S20" s="5">
        <v>5.0</v>
      </c>
      <c r="T20" s="5">
        <v>5.0</v>
      </c>
      <c r="U20" s="5">
        <v>4.0</v>
      </c>
      <c r="V20" s="5">
        <v>4.0</v>
      </c>
      <c r="W20" s="5">
        <v>4.0</v>
      </c>
      <c r="X20" s="5">
        <v>5.0</v>
      </c>
      <c r="Y20" s="5">
        <v>3.0</v>
      </c>
      <c r="Z20" s="5">
        <v>4.0</v>
      </c>
      <c r="AA20" s="5">
        <v>5.0</v>
      </c>
      <c r="AB20" s="5">
        <v>4.0</v>
      </c>
      <c r="AC20" s="5">
        <v>5.0</v>
      </c>
      <c r="AD20" s="5">
        <v>4.0</v>
      </c>
      <c r="AE20" s="15">
        <f t="shared" si="5"/>
        <v>4.5</v>
      </c>
      <c r="AF20" s="15">
        <f t="shared" si="6"/>
        <v>5</v>
      </c>
      <c r="AG20" s="15">
        <f t="shared" si="7"/>
        <v>5</v>
      </c>
      <c r="AH20" s="15">
        <f t="shared" si="8"/>
        <v>5</v>
      </c>
      <c r="AI20" s="15">
        <f t="shared" si="9"/>
        <v>4</v>
      </c>
      <c r="AJ20" s="15">
        <f t="shared" si="10"/>
        <v>4.5</v>
      </c>
      <c r="AK20" s="15">
        <f t="shared" si="11"/>
        <v>4</v>
      </c>
      <c r="AL20" s="15">
        <f t="shared" si="12"/>
        <v>4.333333333</v>
      </c>
    </row>
    <row r="21" ht="22.5" customHeight="1">
      <c r="A21" s="3">
        <f t="shared" si="1"/>
        <v>20</v>
      </c>
      <c r="B21" s="4">
        <v>45929.7447452662</v>
      </c>
      <c r="C21" s="5" t="s">
        <v>48</v>
      </c>
      <c r="D21" s="3">
        <f t="shared" si="2"/>
        <v>25</v>
      </c>
      <c r="E21" s="5" t="s">
        <v>27</v>
      </c>
      <c r="F21" s="5" t="s">
        <v>28</v>
      </c>
      <c r="G21" s="6" t="s">
        <v>34</v>
      </c>
      <c r="H21" s="3">
        <f t="shared" si="3"/>
        <v>3.5</v>
      </c>
      <c r="I21" s="6" t="s">
        <v>35</v>
      </c>
      <c r="J21" s="3">
        <f t="shared" si="4"/>
        <v>5</v>
      </c>
      <c r="K21" s="5" t="s">
        <v>43</v>
      </c>
      <c r="L21" s="5" t="s">
        <v>32</v>
      </c>
      <c r="M21" s="5">
        <v>4.0</v>
      </c>
      <c r="N21" s="5">
        <v>5.0</v>
      </c>
      <c r="O21" s="5">
        <v>3.0</v>
      </c>
      <c r="P21" s="5">
        <v>4.0</v>
      </c>
      <c r="Q21" s="5">
        <v>5.0</v>
      </c>
      <c r="R21" s="5">
        <v>3.0</v>
      </c>
      <c r="S21" s="5">
        <v>4.0</v>
      </c>
      <c r="T21" s="5">
        <v>5.0</v>
      </c>
      <c r="U21" s="5">
        <v>5.0</v>
      </c>
      <c r="V21" s="5">
        <v>3.0</v>
      </c>
      <c r="W21" s="5">
        <v>3.0</v>
      </c>
      <c r="X21" s="5">
        <v>4.0</v>
      </c>
      <c r="Y21" s="5">
        <v>2.0</v>
      </c>
      <c r="Z21" s="5">
        <v>1.0</v>
      </c>
      <c r="AA21" s="5">
        <v>2.0</v>
      </c>
      <c r="AB21" s="5">
        <v>4.0</v>
      </c>
      <c r="AC21" s="5">
        <v>3.0</v>
      </c>
      <c r="AD21" s="5">
        <v>3.0</v>
      </c>
      <c r="AE21" s="15">
        <f t="shared" si="5"/>
        <v>4.5</v>
      </c>
      <c r="AF21" s="15">
        <f t="shared" si="6"/>
        <v>3.5</v>
      </c>
      <c r="AG21" s="15">
        <f t="shared" si="7"/>
        <v>4</v>
      </c>
      <c r="AH21" s="15">
        <f t="shared" si="8"/>
        <v>4.5</v>
      </c>
      <c r="AI21" s="15">
        <f t="shared" si="9"/>
        <v>4</v>
      </c>
      <c r="AJ21" s="15">
        <f t="shared" si="10"/>
        <v>3.5</v>
      </c>
      <c r="AK21" s="15">
        <f t="shared" si="11"/>
        <v>1.666666667</v>
      </c>
      <c r="AL21" s="15">
        <f t="shared" si="12"/>
        <v>3.333333333</v>
      </c>
    </row>
    <row r="22" ht="22.5" customHeight="1">
      <c r="A22" s="3">
        <f t="shared" si="1"/>
        <v>21</v>
      </c>
      <c r="B22" s="4">
        <v>45929.74549645833</v>
      </c>
      <c r="C22" s="5" t="s">
        <v>26</v>
      </c>
      <c r="D22" s="3">
        <f t="shared" si="2"/>
        <v>22</v>
      </c>
      <c r="E22" s="5" t="s">
        <v>33</v>
      </c>
      <c r="F22" s="5" t="s">
        <v>64</v>
      </c>
      <c r="G22" s="6" t="s">
        <v>34</v>
      </c>
      <c r="H22" s="3">
        <f t="shared" si="3"/>
        <v>3.5</v>
      </c>
      <c r="I22" s="6" t="s">
        <v>35</v>
      </c>
      <c r="J22" s="3">
        <f t="shared" si="4"/>
        <v>5</v>
      </c>
      <c r="K22" s="5" t="s">
        <v>53</v>
      </c>
      <c r="L22" s="5" t="s">
        <v>32</v>
      </c>
      <c r="M22" s="5">
        <v>5.0</v>
      </c>
      <c r="N22" s="5">
        <v>5.0</v>
      </c>
      <c r="O22" s="5">
        <v>5.0</v>
      </c>
      <c r="P22" s="5">
        <v>5.0</v>
      </c>
      <c r="Q22" s="5">
        <v>5.0</v>
      </c>
      <c r="R22" s="5">
        <v>5.0</v>
      </c>
      <c r="S22" s="5">
        <v>5.0</v>
      </c>
      <c r="T22" s="5">
        <v>4.0</v>
      </c>
      <c r="U22" s="5">
        <v>5.0</v>
      </c>
      <c r="V22" s="5">
        <v>5.0</v>
      </c>
      <c r="W22" s="5">
        <v>4.0</v>
      </c>
      <c r="X22" s="5">
        <v>5.0</v>
      </c>
      <c r="Y22" s="5">
        <v>5.0</v>
      </c>
      <c r="Z22" s="5">
        <v>5.0</v>
      </c>
      <c r="AA22" s="5">
        <v>5.0</v>
      </c>
      <c r="AB22" s="5">
        <v>5.0</v>
      </c>
      <c r="AC22" s="5">
        <v>5.0</v>
      </c>
      <c r="AD22" s="5">
        <v>4.0</v>
      </c>
      <c r="AE22" s="15">
        <f t="shared" si="5"/>
        <v>5</v>
      </c>
      <c r="AF22" s="15">
        <f t="shared" si="6"/>
        <v>5</v>
      </c>
      <c r="AG22" s="15">
        <f t="shared" si="7"/>
        <v>5</v>
      </c>
      <c r="AH22" s="15">
        <f t="shared" si="8"/>
        <v>4.5</v>
      </c>
      <c r="AI22" s="15">
        <f t="shared" si="9"/>
        <v>5</v>
      </c>
      <c r="AJ22" s="15">
        <f t="shared" si="10"/>
        <v>4.5</v>
      </c>
      <c r="AK22" s="15">
        <f t="shared" si="11"/>
        <v>5</v>
      </c>
      <c r="AL22" s="15">
        <f t="shared" si="12"/>
        <v>4.666666667</v>
      </c>
    </row>
    <row r="23" ht="22.5" customHeight="1">
      <c r="A23" s="3">
        <f t="shared" si="1"/>
        <v>22</v>
      </c>
      <c r="B23" s="4">
        <v>45929.748004375</v>
      </c>
      <c r="C23" s="5" t="s">
        <v>48</v>
      </c>
      <c r="D23" s="3">
        <f t="shared" si="2"/>
        <v>25</v>
      </c>
      <c r="E23" s="5" t="s">
        <v>33</v>
      </c>
      <c r="F23" s="5" t="s">
        <v>28</v>
      </c>
      <c r="G23" s="6" t="s">
        <v>34</v>
      </c>
      <c r="H23" s="3">
        <f t="shared" si="3"/>
        <v>3.5</v>
      </c>
      <c r="I23" s="6" t="s">
        <v>35</v>
      </c>
      <c r="J23" s="3">
        <f t="shared" si="4"/>
        <v>5</v>
      </c>
      <c r="K23" s="5" t="s">
        <v>46</v>
      </c>
      <c r="L23" s="5" t="s">
        <v>37</v>
      </c>
      <c r="M23" s="5">
        <v>3.0</v>
      </c>
      <c r="N23" s="5">
        <v>3.0</v>
      </c>
      <c r="O23" s="5">
        <v>2.0</v>
      </c>
      <c r="P23" s="5">
        <v>2.0</v>
      </c>
      <c r="Q23" s="5">
        <v>4.0</v>
      </c>
      <c r="R23" s="5">
        <v>4.0</v>
      </c>
      <c r="S23" s="5">
        <v>2.0</v>
      </c>
      <c r="T23" s="5">
        <v>2.0</v>
      </c>
      <c r="U23" s="5">
        <v>4.0</v>
      </c>
      <c r="V23" s="5">
        <v>4.0</v>
      </c>
      <c r="W23" s="5">
        <v>3.0</v>
      </c>
      <c r="X23" s="5">
        <v>2.0</v>
      </c>
      <c r="Y23" s="5">
        <v>1.0</v>
      </c>
      <c r="Z23" s="5">
        <v>3.0</v>
      </c>
      <c r="AA23" s="5">
        <v>4.0</v>
      </c>
      <c r="AB23" s="5">
        <v>4.0</v>
      </c>
      <c r="AC23" s="5">
        <v>4.0</v>
      </c>
      <c r="AD23" s="5">
        <v>3.0</v>
      </c>
      <c r="AE23" s="15">
        <f t="shared" si="5"/>
        <v>3</v>
      </c>
      <c r="AF23" s="15">
        <f t="shared" si="6"/>
        <v>2</v>
      </c>
      <c r="AG23" s="15">
        <f t="shared" si="7"/>
        <v>4</v>
      </c>
      <c r="AH23" s="15">
        <f t="shared" si="8"/>
        <v>2</v>
      </c>
      <c r="AI23" s="15">
        <f t="shared" si="9"/>
        <v>4</v>
      </c>
      <c r="AJ23" s="15">
        <f t="shared" si="10"/>
        <v>2.5</v>
      </c>
      <c r="AK23" s="15">
        <f t="shared" si="11"/>
        <v>2.666666667</v>
      </c>
      <c r="AL23" s="15">
        <f t="shared" si="12"/>
        <v>3.666666667</v>
      </c>
    </row>
    <row r="24" ht="22.5" customHeight="1">
      <c r="A24" s="3">
        <f t="shared" si="1"/>
        <v>23</v>
      </c>
      <c r="B24" s="4">
        <v>45929.74980751157</v>
      </c>
      <c r="C24" s="5" t="s">
        <v>65</v>
      </c>
      <c r="D24" s="3">
        <f t="shared" si="2"/>
        <v>19</v>
      </c>
      <c r="E24" s="5" t="s">
        <v>33</v>
      </c>
      <c r="F24" s="5" t="s">
        <v>28</v>
      </c>
      <c r="G24" s="5" t="s">
        <v>29</v>
      </c>
      <c r="H24" s="3">
        <f t="shared" si="3"/>
        <v>7</v>
      </c>
      <c r="I24" s="5" t="s">
        <v>96</v>
      </c>
      <c r="J24" s="3">
        <f t="shared" si="4"/>
        <v>11</v>
      </c>
      <c r="K24" s="5" t="s">
        <v>66</v>
      </c>
      <c r="L24" s="5" t="s">
        <v>32</v>
      </c>
      <c r="M24" s="5">
        <v>5.0</v>
      </c>
      <c r="N24" s="5">
        <v>2.0</v>
      </c>
      <c r="O24" s="5">
        <v>3.0</v>
      </c>
      <c r="P24" s="5">
        <v>2.0</v>
      </c>
      <c r="Q24" s="5">
        <v>5.0</v>
      </c>
      <c r="R24" s="5">
        <v>4.0</v>
      </c>
      <c r="S24" s="5">
        <v>5.0</v>
      </c>
      <c r="T24" s="5">
        <v>2.0</v>
      </c>
      <c r="U24" s="5">
        <v>4.0</v>
      </c>
      <c r="V24" s="5">
        <v>5.0</v>
      </c>
      <c r="W24" s="5">
        <v>3.0</v>
      </c>
      <c r="X24" s="5">
        <v>3.0</v>
      </c>
      <c r="Y24" s="5">
        <v>3.0</v>
      </c>
      <c r="Z24" s="5">
        <v>2.0</v>
      </c>
      <c r="AA24" s="5">
        <v>4.0</v>
      </c>
      <c r="AB24" s="5">
        <v>4.0</v>
      </c>
      <c r="AC24" s="5">
        <v>5.0</v>
      </c>
      <c r="AD24" s="5">
        <v>5.0</v>
      </c>
      <c r="AE24" s="15">
        <f t="shared" si="5"/>
        <v>3.5</v>
      </c>
      <c r="AF24" s="15">
        <f t="shared" si="6"/>
        <v>2.5</v>
      </c>
      <c r="AG24" s="15">
        <f t="shared" si="7"/>
        <v>4.5</v>
      </c>
      <c r="AH24" s="15">
        <f t="shared" si="8"/>
        <v>3.5</v>
      </c>
      <c r="AI24" s="15">
        <f t="shared" si="9"/>
        <v>4.5</v>
      </c>
      <c r="AJ24" s="15">
        <f t="shared" si="10"/>
        <v>3</v>
      </c>
      <c r="AK24" s="15">
        <f t="shared" si="11"/>
        <v>3</v>
      </c>
      <c r="AL24" s="15">
        <f t="shared" si="12"/>
        <v>4.666666667</v>
      </c>
    </row>
    <row r="25" ht="22.5" customHeight="1">
      <c r="A25" s="3">
        <f t="shared" si="1"/>
        <v>24</v>
      </c>
      <c r="B25" s="4">
        <v>45929.7528818287</v>
      </c>
      <c r="C25" s="5" t="s">
        <v>65</v>
      </c>
      <c r="D25" s="3">
        <f t="shared" si="2"/>
        <v>19</v>
      </c>
      <c r="E25" s="5" t="s">
        <v>27</v>
      </c>
      <c r="F25" s="5" t="s">
        <v>28</v>
      </c>
      <c r="G25" s="6" t="s">
        <v>34</v>
      </c>
      <c r="H25" s="3">
        <f t="shared" si="3"/>
        <v>3.5</v>
      </c>
      <c r="I25" s="6" t="s">
        <v>41</v>
      </c>
      <c r="J25" s="3">
        <f t="shared" si="4"/>
        <v>8</v>
      </c>
      <c r="K25" s="5" t="s">
        <v>67</v>
      </c>
      <c r="L25" s="5" t="s">
        <v>32</v>
      </c>
      <c r="M25" s="5">
        <v>5.0</v>
      </c>
      <c r="N25" s="5">
        <v>5.0</v>
      </c>
      <c r="O25" s="5">
        <v>5.0</v>
      </c>
      <c r="P25" s="5">
        <v>5.0</v>
      </c>
      <c r="Q25" s="5">
        <v>5.0</v>
      </c>
      <c r="R25" s="5">
        <v>5.0</v>
      </c>
      <c r="S25" s="5">
        <v>5.0</v>
      </c>
      <c r="T25" s="5">
        <v>5.0</v>
      </c>
      <c r="U25" s="5">
        <v>5.0</v>
      </c>
      <c r="V25" s="5">
        <v>5.0</v>
      </c>
      <c r="W25" s="5">
        <v>4.0</v>
      </c>
      <c r="X25" s="5">
        <v>4.0</v>
      </c>
      <c r="Y25" s="5">
        <v>3.0</v>
      </c>
      <c r="Z25" s="5">
        <v>3.0</v>
      </c>
      <c r="AA25" s="5">
        <v>4.0</v>
      </c>
      <c r="AB25" s="5">
        <v>4.0</v>
      </c>
      <c r="AC25" s="5">
        <v>4.0</v>
      </c>
      <c r="AD25" s="5">
        <v>4.0</v>
      </c>
      <c r="AE25" s="15">
        <f t="shared" si="5"/>
        <v>5</v>
      </c>
      <c r="AF25" s="15">
        <f t="shared" si="6"/>
        <v>5</v>
      </c>
      <c r="AG25" s="15">
        <f t="shared" si="7"/>
        <v>5</v>
      </c>
      <c r="AH25" s="15">
        <f t="shared" si="8"/>
        <v>5</v>
      </c>
      <c r="AI25" s="15">
        <f t="shared" si="9"/>
        <v>5</v>
      </c>
      <c r="AJ25" s="15">
        <f t="shared" si="10"/>
        <v>4</v>
      </c>
      <c r="AK25" s="15">
        <f t="shared" si="11"/>
        <v>3.333333333</v>
      </c>
      <c r="AL25" s="15">
        <f t="shared" si="12"/>
        <v>4</v>
      </c>
    </row>
    <row r="26" ht="22.5" customHeight="1">
      <c r="A26" s="3">
        <f t="shared" si="1"/>
        <v>25</v>
      </c>
      <c r="B26" s="4">
        <v>45929.75297054398</v>
      </c>
      <c r="C26" s="5" t="s">
        <v>26</v>
      </c>
      <c r="D26" s="3">
        <f t="shared" si="2"/>
        <v>22</v>
      </c>
      <c r="E26" s="5" t="s">
        <v>27</v>
      </c>
      <c r="F26" s="5" t="s">
        <v>28</v>
      </c>
      <c r="G26" s="6" t="s">
        <v>34</v>
      </c>
      <c r="H26" s="3">
        <f t="shared" si="3"/>
        <v>3.5</v>
      </c>
      <c r="I26" s="6" t="s">
        <v>35</v>
      </c>
      <c r="J26" s="3">
        <f t="shared" si="4"/>
        <v>5</v>
      </c>
      <c r="K26" s="5" t="s">
        <v>42</v>
      </c>
      <c r="L26" s="5" t="s">
        <v>37</v>
      </c>
      <c r="M26" s="5">
        <v>4.0</v>
      </c>
      <c r="N26" s="5">
        <v>5.0</v>
      </c>
      <c r="O26" s="5">
        <v>4.0</v>
      </c>
      <c r="P26" s="5">
        <v>3.0</v>
      </c>
      <c r="Q26" s="5">
        <v>5.0</v>
      </c>
      <c r="R26" s="5">
        <v>4.0</v>
      </c>
      <c r="S26" s="5">
        <v>5.0</v>
      </c>
      <c r="T26" s="5">
        <v>4.0</v>
      </c>
      <c r="U26" s="5">
        <v>5.0</v>
      </c>
      <c r="V26" s="5">
        <v>5.0</v>
      </c>
      <c r="W26" s="5">
        <v>4.0</v>
      </c>
      <c r="X26" s="5">
        <v>2.0</v>
      </c>
      <c r="Y26" s="5">
        <v>3.0</v>
      </c>
      <c r="Z26" s="5">
        <v>3.0</v>
      </c>
      <c r="AA26" s="5">
        <v>5.0</v>
      </c>
      <c r="AB26" s="5">
        <v>5.0</v>
      </c>
      <c r="AC26" s="5">
        <v>5.0</v>
      </c>
      <c r="AD26" s="5">
        <v>5.0</v>
      </c>
      <c r="AE26" s="15">
        <f t="shared" si="5"/>
        <v>4.5</v>
      </c>
      <c r="AF26" s="15">
        <f t="shared" si="6"/>
        <v>3.5</v>
      </c>
      <c r="AG26" s="15">
        <f t="shared" si="7"/>
        <v>4.5</v>
      </c>
      <c r="AH26" s="15">
        <f t="shared" si="8"/>
        <v>4.5</v>
      </c>
      <c r="AI26" s="15">
        <f t="shared" si="9"/>
        <v>5</v>
      </c>
      <c r="AJ26" s="15">
        <f t="shared" si="10"/>
        <v>3</v>
      </c>
      <c r="AK26" s="15">
        <f t="shared" si="11"/>
        <v>3.666666667</v>
      </c>
      <c r="AL26" s="15">
        <f t="shared" si="12"/>
        <v>5</v>
      </c>
    </row>
    <row r="27" ht="22.5" customHeight="1">
      <c r="A27" s="3">
        <f t="shared" si="1"/>
        <v>26</v>
      </c>
      <c r="B27" s="4">
        <v>45929.75300388889</v>
      </c>
      <c r="C27" s="5" t="s">
        <v>26</v>
      </c>
      <c r="D27" s="3">
        <f t="shared" si="2"/>
        <v>22</v>
      </c>
      <c r="E27" s="5" t="s">
        <v>27</v>
      </c>
      <c r="F27" s="5" t="s">
        <v>64</v>
      </c>
      <c r="G27" s="6" t="s">
        <v>45</v>
      </c>
      <c r="H27" s="3">
        <f t="shared" si="3"/>
        <v>1.5</v>
      </c>
      <c r="I27" s="6" t="s">
        <v>39</v>
      </c>
      <c r="J27" s="3">
        <f t="shared" si="4"/>
        <v>2</v>
      </c>
      <c r="K27" s="5" t="s">
        <v>49</v>
      </c>
      <c r="L27" s="5" t="s">
        <v>37</v>
      </c>
      <c r="M27" s="5">
        <v>4.0</v>
      </c>
      <c r="N27" s="5">
        <v>2.0</v>
      </c>
      <c r="O27" s="5">
        <v>4.0</v>
      </c>
      <c r="P27" s="5">
        <v>3.0</v>
      </c>
      <c r="Q27" s="5">
        <v>4.0</v>
      </c>
      <c r="R27" s="5">
        <v>5.0</v>
      </c>
      <c r="S27" s="5">
        <v>4.0</v>
      </c>
      <c r="T27" s="5">
        <v>4.0</v>
      </c>
      <c r="U27" s="5">
        <v>4.0</v>
      </c>
      <c r="V27" s="5">
        <v>5.0</v>
      </c>
      <c r="W27" s="5">
        <v>4.0</v>
      </c>
      <c r="X27" s="5">
        <v>2.0</v>
      </c>
      <c r="Y27" s="5">
        <v>1.0</v>
      </c>
      <c r="Z27" s="5">
        <v>1.0</v>
      </c>
      <c r="AA27" s="5">
        <v>2.0</v>
      </c>
      <c r="AB27" s="5">
        <v>4.0</v>
      </c>
      <c r="AC27" s="5">
        <v>4.0</v>
      </c>
      <c r="AD27" s="5">
        <v>2.0</v>
      </c>
      <c r="AE27" s="15">
        <f t="shared" si="5"/>
        <v>3</v>
      </c>
      <c r="AF27" s="15">
        <f t="shared" si="6"/>
        <v>3.5</v>
      </c>
      <c r="AG27" s="15">
        <f t="shared" si="7"/>
        <v>4.5</v>
      </c>
      <c r="AH27" s="15">
        <f t="shared" si="8"/>
        <v>4</v>
      </c>
      <c r="AI27" s="15">
        <f t="shared" si="9"/>
        <v>4.5</v>
      </c>
      <c r="AJ27" s="15">
        <f t="shared" si="10"/>
        <v>3</v>
      </c>
      <c r="AK27" s="15">
        <f t="shared" si="11"/>
        <v>1.333333333</v>
      </c>
      <c r="AL27" s="15">
        <f t="shared" si="12"/>
        <v>3.333333333</v>
      </c>
    </row>
    <row r="28" ht="22.5" customHeight="1">
      <c r="A28" s="3">
        <f t="shared" si="1"/>
        <v>27</v>
      </c>
      <c r="B28" s="4">
        <v>45929.753058993054</v>
      </c>
      <c r="C28" s="5" t="s">
        <v>65</v>
      </c>
      <c r="D28" s="3">
        <f t="shared" si="2"/>
        <v>19</v>
      </c>
      <c r="E28" s="5" t="s">
        <v>27</v>
      </c>
      <c r="F28" s="5" t="s">
        <v>28</v>
      </c>
      <c r="G28" s="6" t="s">
        <v>52</v>
      </c>
      <c r="H28" s="3">
        <f t="shared" si="3"/>
        <v>5.5</v>
      </c>
      <c r="I28" s="6" t="s">
        <v>39</v>
      </c>
      <c r="J28" s="3">
        <f t="shared" si="4"/>
        <v>2</v>
      </c>
      <c r="K28" s="5" t="s">
        <v>42</v>
      </c>
      <c r="L28" s="5" t="s">
        <v>32</v>
      </c>
      <c r="M28" s="5">
        <v>3.0</v>
      </c>
      <c r="N28" s="5">
        <v>4.0</v>
      </c>
      <c r="O28" s="5">
        <v>3.0</v>
      </c>
      <c r="P28" s="5">
        <v>3.0</v>
      </c>
      <c r="Q28" s="5">
        <v>4.0</v>
      </c>
      <c r="R28" s="5">
        <v>4.0</v>
      </c>
      <c r="S28" s="5">
        <v>4.0</v>
      </c>
      <c r="T28" s="5">
        <v>4.0</v>
      </c>
      <c r="U28" s="5">
        <v>4.0</v>
      </c>
      <c r="V28" s="5">
        <v>4.0</v>
      </c>
      <c r="W28" s="5">
        <v>4.0</v>
      </c>
      <c r="X28" s="5">
        <v>4.0</v>
      </c>
      <c r="Y28" s="5">
        <v>3.0</v>
      </c>
      <c r="Z28" s="5">
        <v>3.0</v>
      </c>
      <c r="AA28" s="5">
        <v>3.0</v>
      </c>
      <c r="AB28" s="5">
        <v>4.0</v>
      </c>
      <c r="AC28" s="5">
        <v>3.0</v>
      </c>
      <c r="AD28" s="5">
        <v>4.0</v>
      </c>
      <c r="AE28" s="15">
        <f t="shared" si="5"/>
        <v>3.5</v>
      </c>
      <c r="AF28" s="15">
        <f t="shared" si="6"/>
        <v>3</v>
      </c>
      <c r="AG28" s="15">
        <f t="shared" si="7"/>
        <v>4</v>
      </c>
      <c r="AH28" s="15">
        <f t="shared" si="8"/>
        <v>4</v>
      </c>
      <c r="AI28" s="15">
        <f t="shared" si="9"/>
        <v>4</v>
      </c>
      <c r="AJ28" s="15">
        <f t="shared" si="10"/>
        <v>4</v>
      </c>
      <c r="AK28" s="15">
        <f t="shared" si="11"/>
        <v>3</v>
      </c>
      <c r="AL28" s="15">
        <f t="shared" si="12"/>
        <v>3.666666667</v>
      </c>
    </row>
    <row r="29" ht="22.5" customHeight="1">
      <c r="A29" s="3">
        <f t="shared" si="1"/>
        <v>28</v>
      </c>
      <c r="B29" s="4">
        <v>45929.75308892361</v>
      </c>
      <c r="C29" s="5" t="s">
        <v>26</v>
      </c>
      <c r="D29" s="3">
        <f t="shared" si="2"/>
        <v>22</v>
      </c>
      <c r="E29" s="5" t="s">
        <v>27</v>
      </c>
      <c r="F29" s="5" t="s">
        <v>28</v>
      </c>
      <c r="G29" s="6" t="s">
        <v>45</v>
      </c>
      <c r="H29" s="3">
        <f t="shared" si="3"/>
        <v>1.5</v>
      </c>
      <c r="I29" s="6" t="s">
        <v>35</v>
      </c>
      <c r="J29" s="3">
        <f t="shared" si="4"/>
        <v>5</v>
      </c>
      <c r="K29" s="5" t="s">
        <v>49</v>
      </c>
      <c r="L29" s="5" t="s">
        <v>32</v>
      </c>
      <c r="M29" s="5">
        <v>4.0</v>
      </c>
      <c r="N29" s="5">
        <v>4.0</v>
      </c>
      <c r="O29" s="5">
        <v>3.0</v>
      </c>
      <c r="P29" s="5">
        <v>2.0</v>
      </c>
      <c r="Q29" s="5">
        <v>5.0</v>
      </c>
      <c r="R29" s="5">
        <v>5.0</v>
      </c>
      <c r="S29" s="5">
        <v>5.0</v>
      </c>
      <c r="T29" s="5">
        <v>4.0</v>
      </c>
      <c r="U29" s="5">
        <v>5.0</v>
      </c>
      <c r="V29" s="5">
        <v>5.0</v>
      </c>
      <c r="W29" s="5">
        <v>5.0</v>
      </c>
      <c r="X29" s="5">
        <v>3.0</v>
      </c>
      <c r="Y29" s="5">
        <v>2.0</v>
      </c>
      <c r="Z29" s="5">
        <v>3.0</v>
      </c>
      <c r="AA29" s="5">
        <v>2.0</v>
      </c>
      <c r="AB29" s="5">
        <v>4.0</v>
      </c>
      <c r="AC29" s="5">
        <v>5.0</v>
      </c>
      <c r="AD29" s="5">
        <v>4.0</v>
      </c>
      <c r="AE29" s="15">
        <f t="shared" si="5"/>
        <v>4</v>
      </c>
      <c r="AF29" s="15">
        <f t="shared" si="6"/>
        <v>2.5</v>
      </c>
      <c r="AG29" s="15">
        <f t="shared" si="7"/>
        <v>5</v>
      </c>
      <c r="AH29" s="15">
        <f t="shared" si="8"/>
        <v>4.5</v>
      </c>
      <c r="AI29" s="15">
        <f t="shared" si="9"/>
        <v>5</v>
      </c>
      <c r="AJ29" s="15">
        <f t="shared" si="10"/>
        <v>4</v>
      </c>
      <c r="AK29" s="15">
        <f t="shared" si="11"/>
        <v>2.333333333</v>
      </c>
      <c r="AL29" s="15">
        <f t="shared" si="12"/>
        <v>4.333333333</v>
      </c>
    </row>
    <row r="30" ht="22.5" customHeight="1">
      <c r="A30" s="3">
        <f t="shared" si="1"/>
        <v>29</v>
      </c>
      <c r="B30" s="4">
        <v>45929.753240474536</v>
      </c>
      <c r="C30" s="5" t="s">
        <v>26</v>
      </c>
      <c r="D30" s="3">
        <f t="shared" si="2"/>
        <v>22</v>
      </c>
      <c r="E30" s="5" t="s">
        <v>27</v>
      </c>
      <c r="F30" s="5" t="s">
        <v>28</v>
      </c>
      <c r="G30" s="6" t="s">
        <v>45</v>
      </c>
      <c r="H30" s="3">
        <f t="shared" si="3"/>
        <v>1.5</v>
      </c>
      <c r="I30" s="6" t="s">
        <v>35</v>
      </c>
      <c r="J30" s="3">
        <f t="shared" si="4"/>
        <v>5</v>
      </c>
      <c r="K30" s="5" t="s">
        <v>68</v>
      </c>
      <c r="L30" s="5" t="s">
        <v>37</v>
      </c>
      <c r="M30" s="5">
        <v>5.0</v>
      </c>
      <c r="N30" s="5">
        <v>5.0</v>
      </c>
      <c r="O30" s="5">
        <v>4.0</v>
      </c>
      <c r="P30" s="5">
        <v>4.0</v>
      </c>
      <c r="Q30" s="5">
        <v>5.0</v>
      </c>
      <c r="R30" s="5">
        <v>4.0</v>
      </c>
      <c r="S30" s="5">
        <v>5.0</v>
      </c>
      <c r="T30" s="5">
        <v>5.0</v>
      </c>
      <c r="U30" s="5">
        <v>5.0</v>
      </c>
      <c r="V30" s="5">
        <v>5.0</v>
      </c>
      <c r="W30" s="5">
        <v>4.0</v>
      </c>
      <c r="X30" s="5">
        <v>3.0</v>
      </c>
      <c r="Y30" s="5">
        <v>3.0</v>
      </c>
      <c r="Z30" s="5">
        <v>2.0</v>
      </c>
      <c r="AA30" s="5">
        <v>4.0</v>
      </c>
      <c r="AB30" s="5">
        <v>4.0</v>
      </c>
      <c r="AC30" s="5">
        <v>5.0</v>
      </c>
      <c r="AD30" s="5">
        <v>4.0</v>
      </c>
      <c r="AE30" s="15">
        <f t="shared" si="5"/>
        <v>5</v>
      </c>
      <c r="AF30" s="15">
        <f t="shared" si="6"/>
        <v>4</v>
      </c>
      <c r="AG30" s="15">
        <f t="shared" si="7"/>
        <v>4.5</v>
      </c>
      <c r="AH30" s="15">
        <f t="shared" si="8"/>
        <v>5</v>
      </c>
      <c r="AI30" s="15">
        <f t="shared" si="9"/>
        <v>5</v>
      </c>
      <c r="AJ30" s="15">
        <f t="shared" si="10"/>
        <v>3.5</v>
      </c>
      <c r="AK30" s="15">
        <f t="shared" si="11"/>
        <v>3</v>
      </c>
      <c r="AL30" s="15">
        <f t="shared" si="12"/>
        <v>4.333333333</v>
      </c>
    </row>
    <row r="31" ht="22.5" customHeight="1">
      <c r="A31" s="3">
        <f t="shared" si="1"/>
        <v>30</v>
      </c>
      <c r="B31" s="4">
        <v>45929.75330502314</v>
      </c>
      <c r="C31" s="5" t="s">
        <v>48</v>
      </c>
      <c r="D31" s="3">
        <f t="shared" si="2"/>
        <v>25</v>
      </c>
      <c r="E31" s="5" t="s">
        <v>27</v>
      </c>
      <c r="F31" s="5" t="s">
        <v>28</v>
      </c>
      <c r="G31" s="6" t="s">
        <v>34</v>
      </c>
      <c r="H31" s="3">
        <f t="shared" si="3"/>
        <v>3.5</v>
      </c>
      <c r="I31" s="6" t="s">
        <v>35</v>
      </c>
      <c r="J31" s="3">
        <f t="shared" si="4"/>
        <v>5</v>
      </c>
      <c r="K31" s="5" t="s">
        <v>49</v>
      </c>
      <c r="L31" s="5" t="s">
        <v>37</v>
      </c>
      <c r="M31" s="5">
        <v>4.0</v>
      </c>
      <c r="N31" s="5">
        <v>3.0</v>
      </c>
      <c r="O31" s="5">
        <v>4.0</v>
      </c>
      <c r="P31" s="5">
        <v>2.0</v>
      </c>
      <c r="Q31" s="5">
        <v>5.0</v>
      </c>
      <c r="R31" s="5">
        <v>4.0</v>
      </c>
      <c r="S31" s="5">
        <v>4.0</v>
      </c>
      <c r="T31" s="5">
        <v>4.0</v>
      </c>
      <c r="U31" s="5">
        <v>5.0</v>
      </c>
      <c r="V31" s="5">
        <v>4.0</v>
      </c>
      <c r="W31" s="5">
        <v>3.0</v>
      </c>
      <c r="X31" s="5">
        <v>2.0</v>
      </c>
      <c r="Y31" s="5">
        <v>2.0</v>
      </c>
      <c r="Z31" s="5">
        <v>3.0</v>
      </c>
      <c r="AA31" s="5">
        <v>4.0</v>
      </c>
      <c r="AB31" s="5">
        <v>3.0</v>
      </c>
      <c r="AC31" s="5">
        <v>5.0</v>
      </c>
      <c r="AD31" s="5">
        <v>4.0</v>
      </c>
      <c r="AE31" s="15">
        <f t="shared" si="5"/>
        <v>3.5</v>
      </c>
      <c r="AF31" s="15">
        <f t="shared" si="6"/>
        <v>3</v>
      </c>
      <c r="AG31" s="15">
        <f t="shared" si="7"/>
        <v>4.5</v>
      </c>
      <c r="AH31" s="15">
        <f t="shared" si="8"/>
        <v>4</v>
      </c>
      <c r="AI31" s="15">
        <f t="shared" si="9"/>
        <v>4.5</v>
      </c>
      <c r="AJ31" s="15">
        <f t="shared" si="10"/>
        <v>2.5</v>
      </c>
      <c r="AK31" s="15">
        <f t="shared" si="11"/>
        <v>3</v>
      </c>
      <c r="AL31" s="15">
        <f t="shared" si="12"/>
        <v>4</v>
      </c>
    </row>
    <row r="32" ht="22.5" customHeight="1">
      <c r="A32" s="3">
        <f t="shared" si="1"/>
        <v>31</v>
      </c>
      <c r="B32" s="4">
        <v>45929.7536912037</v>
      </c>
      <c r="C32" s="5" t="s">
        <v>65</v>
      </c>
      <c r="D32" s="3">
        <f t="shared" si="2"/>
        <v>19</v>
      </c>
      <c r="E32" s="5" t="s">
        <v>33</v>
      </c>
      <c r="F32" s="5" t="s">
        <v>64</v>
      </c>
      <c r="G32" s="6" t="s">
        <v>45</v>
      </c>
      <c r="H32" s="3">
        <f t="shared" si="3"/>
        <v>1.5</v>
      </c>
      <c r="I32" s="6" t="s">
        <v>39</v>
      </c>
      <c r="J32" s="3">
        <f t="shared" si="4"/>
        <v>2</v>
      </c>
      <c r="K32" s="5" t="s">
        <v>69</v>
      </c>
      <c r="L32" s="5" t="s">
        <v>70</v>
      </c>
      <c r="M32" s="5">
        <v>3.0</v>
      </c>
      <c r="N32" s="5">
        <v>4.0</v>
      </c>
      <c r="O32" s="5">
        <v>4.0</v>
      </c>
      <c r="P32" s="5">
        <v>4.0</v>
      </c>
      <c r="Q32" s="5">
        <v>4.0</v>
      </c>
      <c r="R32" s="5">
        <v>3.0</v>
      </c>
      <c r="S32" s="5">
        <v>4.0</v>
      </c>
      <c r="T32" s="5">
        <v>4.0</v>
      </c>
      <c r="U32" s="5">
        <v>4.0</v>
      </c>
      <c r="V32" s="5">
        <v>3.0</v>
      </c>
      <c r="W32" s="5">
        <v>4.0</v>
      </c>
      <c r="X32" s="5">
        <v>3.0</v>
      </c>
      <c r="Y32" s="5">
        <v>1.0</v>
      </c>
      <c r="Z32" s="5">
        <v>1.0</v>
      </c>
      <c r="AA32" s="5">
        <v>1.0</v>
      </c>
      <c r="AB32" s="5">
        <v>3.0</v>
      </c>
      <c r="AC32" s="5">
        <v>4.0</v>
      </c>
      <c r="AD32" s="5">
        <v>2.0</v>
      </c>
      <c r="AE32" s="15">
        <f t="shared" si="5"/>
        <v>3.5</v>
      </c>
      <c r="AF32" s="15">
        <f t="shared" si="6"/>
        <v>4</v>
      </c>
      <c r="AG32" s="15">
        <f t="shared" si="7"/>
        <v>3.5</v>
      </c>
      <c r="AH32" s="15">
        <f t="shared" si="8"/>
        <v>4</v>
      </c>
      <c r="AI32" s="15">
        <f t="shared" si="9"/>
        <v>3.5</v>
      </c>
      <c r="AJ32" s="15">
        <f t="shared" si="10"/>
        <v>3.5</v>
      </c>
      <c r="AK32" s="15">
        <f t="shared" si="11"/>
        <v>1</v>
      </c>
      <c r="AL32" s="15">
        <f t="shared" si="12"/>
        <v>3</v>
      </c>
    </row>
    <row r="33" ht="22.5" customHeight="1">
      <c r="A33" s="3">
        <f t="shared" si="1"/>
        <v>32</v>
      </c>
      <c r="B33" s="4">
        <v>45929.75388476852</v>
      </c>
      <c r="C33" s="5" t="s">
        <v>26</v>
      </c>
      <c r="D33" s="3">
        <f t="shared" si="2"/>
        <v>22</v>
      </c>
      <c r="E33" s="5" t="s">
        <v>27</v>
      </c>
      <c r="F33" s="5" t="s">
        <v>28</v>
      </c>
      <c r="G33" s="6" t="s">
        <v>45</v>
      </c>
      <c r="H33" s="3">
        <f t="shared" si="3"/>
        <v>1.5</v>
      </c>
      <c r="I33" s="6" t="s">
        <v>35</v>
      </c>
      <c r="J33" s="3">
        <f t="shared" si="4"/>
        <v>5</v>
      </c>
      <c r="K33" s="5" t="s">
        <v>71</v>
      </c>
      <c r="L33" s="5" t="s">
        <v>37</v>
      </c>
      <c r="M33" s="5">
        <v>4.0</v>
      </c>
      <c r="N33" s="5">
        <v>3.0</v>
      </c>
      <c r="O33" s="5">
        <v>3.0</v>
      </c>
      <c r="P33" s="5">
        <v>3.0</v>
      </c>
      <c r="Q33" s="5">
        <v>4.0</v>
      </c>
      <c r="R33" s="5">
        <v>4.0</v>
      </c>
      <c r="S33" s="5">
        <v>5.0</v>
      </c>
      <c r="T33" s="5">
        <v>5.0</v>
      </c>
      <c r="U33" s="5">
        <v>5.0</v>
      </c>
      <c r="V33" s="5">
        <v>4.0</v>
      </c>
      <c r="W33" s="5">
        <v>4.0</v>
      </c>
      <c r="X33" s="5">
        <v>3.0</v>
      </c>
      <c r="Y33" s="5">
        <v>2.0</v>
      </c>
      <c r="Z33" s="5">
        <v>1.0</v>
      </c>
      <c r="AA33" s="5">
        <v>1.0</v>
      </c>
      <c r="AB33" s="5">
        <v>3.0</v>
      </c>
      <c r="AC33" s="5">
        <v>4.0</v>
      </c>
      <c r="AD33" s="5">
        <v>4.0</v>
      </c>
      <c r="AE33" s="15">
        <f t="shared" si="5"/>
        <v>3.5</v>
      </c>
      <c r="AF33" s="15">
        <f t="shared" si="6"/>
        <v>3</v>
      </c>
      <c r="AG33" s="15">
        <f t="shared" si="7"/>
        <v>4</v>
      </c>
      <c r="AH33" s="15">
        <f t="shared" si="8"/>
        <v>5</v>
      </c>
      <c r="AI33" s="15">
        <f t="shared" si="9"/>
        <v>4.5</v>
      </c>
      <c r="AJ33" s="15">
        <f t="shared" si="10"/>
        <v>3.5</v>
      </c>
      <c r="AK33" s="15">
        <f t="shared" si="11"/>
        <v>1.333333333</v>
      </c>
      <c r="AL33" s="15">
        <f t="shared" si="12"/>
        <v>3.666666667</v>
      </c>
    </row>
    <row r="34" ht="22.5" customHeight="1">
      <c r="A34" s="3">
        <f t="shared" si="1"/>
        <v>33</v>
      </c>
      <c r="B34" s="4">
        <v>45929.75402521991</v>
      </c>
      <c r="C34" s="5" t="s">
        <v>48</v>
      </c>
      <c r="D34" s="3">
        <f t="shared" si="2"/>
        <v>25</v>
      </c>
      <c r="E34" s="5" t="s">
        <v>27</v>
      </c>
      <c r="F34" s="5" t="s">
        <v>28</v>
      </c>
      <c r="G34" s="6" t="s">
        <v>45</v>
      </c>
      <c r="H34" s="3">
        <f t="shared" si="3"/>
        <v>1.5</v>
      </c>
      <c r="I34" s="6" t="s">
        <v>39</v>
      </c>
      <c r="J34" s="3">
        <f t="shared" si="4"/>
        <v>2</v>
      </c>
      <c r="K34" s="5" t="s">
        <v>57</v>
      </c>
      <c r="L34" s="5" t="s">
        <v>37</v>
      </c>
      <c r="M34" s="5">
        <v>4.0</v>
      </c>
      <c r="N34" s="5">
        <v>4.0</v>
      </c>
      <c r="O34" s="5">
        <v>3.0</v>
      </c>
      <c r="P34" s="5">
        <v>4.0</v>
      </c>
      <c r="Q34" s="5">
        <v>5.0</v>
      </c>
      <c r="R34" s="5">
        <v>4.0</v>
      </c>
      <c r="S34" s="5">
        <v>5.0</v>
      </c>
      <c r="T34" s="5">
        <v>5.0</v>
      </c>
      <c r="U34" s="5">
        <v>5.0</v>
      </c>
      <c r="V34" s="5">
        <v>5.0</v>
      </c>
      <c r="W34" s="5">
        <v>3.0</v>
      </c>
      <c r="X34" s="5">
        <v>2.0</v>
      </c>
      <c r="Y34" s="5">
        <v>2.0</v>
      </c>
      <c r="Z34" s="5">
        <v>2.0</v>
      </c>
      <c r="AA34" s="5">
        <v>4.0</v>
      </c>
      <c r="AB34" s="5">
        <v>4.0</v>
      </c>
      <c r="AC34" s="5">
        <v>4.0</v>
      </c>
      <c r="AD34" s="5">
        <v>3.0</v>
      </c>
      <c r="AE34" s="15">
        <f t="shared" si="5"/>
        <v>4</v>
      </c>
      <c r="AF34" s="15">
        <f t="shared" si="6"/>
        <v>3.5</v>
      </c>
      <c r="AG34" s="15">
        <f t="shared" si="7"/>
        <v>4.5</v>
      </c>
      <c r="AH34" s="15">
        <f t="shared" si="8"/>
        <v>5</v>
      </c>
      <c r="AI34" s="15">
        <f t="shared" si="9"/>
        <v>5</v>
      </c>
      <c r="AJ34" s="15">
        <f t="shared" si="10"/>
        <v>2.5</v>
      </c>
      <c r="AK34" s="15">
        <f t="shared" si="11"/>
        <v>2.666666667</v>
      </c>
      <c r="AL34" s="15">
        <f t="shared" si="12"/>
        <v>3.666666667</v>
      </c>
    </row>
    <row r="35" ht="22.5" customHeight="1">
      <c r="A35" s="3">
        <f t="shared" si="1"/>
        <v>34</v>
      </c>
      <c r="B35" s="4">
        <v>45929.75434760417</v>
      </c>
      <c r="C35" s="5" t="s">
        <v>48</v>
      </c>
      <c r="D35" s="3">
        <f t="shared" si="2"/>
        <v>25</v>
      </c>
      <c r="E35" s="5" t="s">
        <v>27</v>
      </c>
      <c r="F35" s="5" t="s">
        <v>28</v>
      </c>
      <c r="G35" s="6" t="s">
        <v>45</v>
      </c>
      <c r="H35" s="3">
        <f t="shared" si="3"/>
        <v>1.5</v>
      </c>
      <c r="I35" s="6" t="s">
        <v>39</v>
      </c>
      <c r="J35" s="3">
        <f t="shared" si="4"/>
        <v>2</v>
      </c>
      <c r="K35" s="5" t="s">
        <v>57</v>
      </c>
      <c r="L35" s="5" t="s">
        <v>37</v>
      </c>
      <c r="M35" s="5">
        <v>2.0</v>
      </c>
      <c r="N35" s="5">
        <v>2.0</v>
      </c>
      <c r="O35" s="5">
        <v>2.0</v>
      </c>
      <c r="P35" s="5">
        <v>1.0</v>
      </c>
      <c r="Q35" s="5">
        <v>5.0</v>
      </c>
      <c r="R35" s="5">
        <v>4.0</v>
      </c>
      <c r="S35" s="5">
        <v>2.0</v>
      </c>
      <c r="T35" s="5">
        <v>3.0</v>
      </c>
      <c r="U35" s="5">
        <v>4.0</v>
      </c>
      <c r="V35" s="5">
        <v>5.0</v>
      </c>
      <c r="W35" s="5">
        <v>3.0</v>
      </c>
      <c r="X35" s="5">
        <v>1.0</v>
      </c>
      <c r="Y35" s="5">
        <v>1.0</v>
      </c>
      <c r="Z35" s="5">
        <v>1.0</v>
      </c>
      <c r="AA35" s="5">
        <v>4.0</v>
      </c>
      <c r="AB35" s="5">
        <v>3.0</v>
      </c>
      <c r="AC35" s="5">
        <v>5.0</v>
      </c>
      <c r="AD35" s="5">
        <v>4.0</v>
      </c>
      <c r="AE35" s="15">
        <f t="shared" si="5"/>
        <v>2</v>
      </c>
      <c r="AF35" s="15">
        <f t="shared" si="6"/>
        <v>1.5</v>
      </c>
      <c r="AG35" s="15">
        <f t="shared" si="7"/>
        <v>4.5</v>
      </c>
      <c r="AH35" s="15">
        <f t="shared" si="8"/>
        <v>2.5</v>
      </c>
      <c r="AI35" s="15">
        <f t="shared" si="9"/>
        <v>4.5</v>
      </c>
      <c r="AJ35" s="15">
        <f t="shared" si="10"/>
        <v>2</v>
      </c>
      <c r="AK35" s="15">
        <f t="shared" si="11"/>
        <v>2</v>
      </c>
      <c r="AL35" s="15">
        <f t="shared" si="12"/>
        <v>4</v>
      </c>
    </row>
    <row r="36" ht="22.5" customHeight="1">
      <c r="A36" s="3">
        <f t="shared" si="1"/>
        <v>35</v>
      </c>
      <c r="B36" s="4">
        <v>45929.75479400463</v>
      </c>
      <c r="C36" s="5" t="s">
        <v>26</v>
      </c>
      <c r="D36" s="3">
        <f t="shared" si="2"/>
        <v>22</v>
      </c>
      <c r="E36" s="5" t="s">
        <v>27</v>
      </c>
      <c r="F36" s="5" t="s">
        <v>72</v>
      </c>
      <c r="G36" s="6" t="s">
        <v>45</v>
      </c>
      <c r="H36" s="3">
        <f t="shared" si="3"/>
        <v>1.5</v>
      </c>
      <c r="I36" s="6" t="s">
        <v>39</v>
      </c>
      <c r="J36" s="3">
        <f t="shared" si="4"/>
        <v>2</v>
      </c>
      <c r="K36" s="5" t="s">
        <v>73</v>
      </c>
      <c r="L36" s="5" t="s">
        <v>37</v>
      </c>
      <c r="M36" s="5">
        <v>4.0</v>
      </c>
      <c r="N36" s="5">
        <v>4.0</v>
      </c>
      <c r="O36" s="5">
        <v>3.0</v>
      </c>
      <c r="P36" s="5">
        <v>3.0</v>
      </c>
      <c r="Q36" s="5">
        <v>5.0</v>
      </c>
      <c r="R36" s="5">
        <v>4.0</v>
      </c>
      <c r="S36" s="5">
        <v>5.0</v>
      </c>
      <c r="T36" s="5">
        <v>4.0</v>
      </c>
      <c r="U36" s="5">
        <v>4.0</v>
      </c>
      <c r="V36" s="5">
        <v>4.0</v>
      </c>
      <c r="W36" s="5">
        <v>3.0</v>
      </c>
      <c r="X36" s="5">
        <v>3.0</v>
      </c>
      <c r="Y36" s="5">
        <v>1.0</v>
      </c>
      <c r="Z36" s="5">
        <v>1.0</v>
      </c>
      <c r="AA36" s="5">
        <v>1.0</v>
      </c>
      <c r="AB36" s="5">
        <v>4.0</v>
      </c>
      <c r="AC36" s="5">
        <v>4.0</v>
      </c>
      <c r="AD36" s="5">
        <v>4.0</v>
      </c>
      <c r="AE36" s="15">
        <f t="shared" si="5"/>
        <v>4</v>
      </c>
      <c r="AF36" s="15">
        <f t="shared" si="6"/>
        <v>3</v>
      </c>
      <c r="AG36" s="15">
        <f t="shared" si="7"/>
        <v>4.5</v>
      </c>
      <c r="AH36" s="15">
        <f t="shared" si="8"/>
        <v>4.5</v>
      </c>
      <c r="AI36" s="15">
        <f t="shared" si="9"/>
        <v>4</v>
      </c>
      <c r="AJ36" s="15">
        <f t="shared" si="10"/>
        <v>3</v>
      </c>
      <c r="AK36" s="15">
        <f t="shared" si="11"/>
        <v>1</v>
      </c>
      <c r="AL36" s="15">
        <f t="shared" si="12"/>
        <v>4</v>
      </c>
    </row>
    <row r="37" ht="22.5" customHeight="1">
      <c r="A37" s="3">
        <f t="shared" si="1"/>
        <v>36</v>
      </c>
      <c r="B37" s="4">
        <v>45929.75601524305</v>
      </c>
      <c r="C37" s="5" t="s">
        <v>59</v>
      </c>
      <c r="D37" s="3">
        <f t="shared" si="2"/>
        <v>29</v>
      </c>
      <c r="E37" s="5" t="s">
        <v>27</v>
      </c>
      <c r="F37" s="5" t="s">
        <v>44</v>
      </c>
      <c r="G37" s="6" t="s">
        <v>34</v>
      </c>
      <c r="H37" s="3">
        <f t="shared" si="3"/>
        <v>3.5</v>
      </c>
      <c r="I37" s="6" t="s">
        <v>41</v>
      </c>
      <c r="J37" s="3">
        <f t="shared" si="4"/>
        <v>8</v>
      </c>
      <c r="K37" s="5" t="s">
        <v>57</v>
      </c>
      <c r="L37" s="5" t="s">
        <v>37</v>
      </c>
      <c r="M37" s="5">
        <v>5.0</v>
      </c>
      <c r="N37" s="5">
        <v>5.0</v>
      </c>
      <c r="O37" s="5">
        <v>4.0</v>
      </c>
      <c r="P37" s="5">
        <v>4.0</v>
      </c>
      <c r="Q37" s="5">
        <v>4.0</v>
      </c>
      <c r="R37" s="5">
        <v>5.0</v>
      </c>
      <c r="S37" s="5">
        <v>5.0</v>
      </c>
      <c r="T37" s="5">
        <v>5.0</v>
      </c>
      <c r="U37" s="5">
        <v>5.0</v>
      </c>
      <c r="V37" s="5">
        <v>4.0</v>
      </c>
      <c r="W37" s="5">
        <v>4.0</v>
      </c>
      <c r="X37" s="5">
        <v>3.0</v>
      </c>
      <c r="Y37" s="5">
        <v>3.0</v>
      </c>
      <c r="Z37" s="5">
        <v>3.0</v>
      </c>
      <c r="AA37" s="5">
        <v>4.0</v>
      </c>
      <c r="AB37" s="5">
        <v>4.0</v>
      </c>
      <c r="AC37" s="5">
        <v>4.0</v>
      </c>
      <c r="AD37" s="5">
        <v>5.0</v>
      </c>
      <c r="AE37" s="15">
        <f t="shared" si="5"/>
        <v>5</v>
      </c>
      <c r="AF37" s="15">
        <f t="shared" si="6"/>
        <v>4</v>
      </c>
      <c r="AG37" s="15">
        <f t="shared" si="7"/>
        <v>4.5</v>
      </c>
      <c r="AH37" s="15">
        <f t="shared" si="8"/>
        <v>5</v>
      </c>
      <c r="AI37" s="15">
        <f t="shared" si="9"/>
        <v>4.5</v>
      </c>
      <c r="AJ37" s="15">
        <f t="shared" si="10"/>
        <v>3.5</v>
      </c>
      <c r="AK37" s="15">
        <f t="shared" si="11"/>
        <v>3.333333333</v>
      </c>
      <c r="AL37" s="15">
        <f t="shared" si="12"/>
        <v>4.333333333</v>
      </c>
    </row>
    <row r="38" ht="22.5" customHeight="1">
      <c r="A38" s="3">
        <f t="shared" si="1"/>
        <v>37</v>
      </c>
      <c r="B38" s="4">
        <v>45929.75621196759</v>
      </c>
      <c r="C38" s="5" t="s">
        <v>48</v>
      </c>
      <c r="D38" s="3">
        <f t="shared" si="2"/>
        <v>25</v>
      </c>
      <c r="E38" s="5" t="s">
        <v>27</v>
      </c>
      <c r="F38" s="5" t="s">
        <v>28</v>
      </c>
      <c r="G38" s="6" t="s">
        <v>34</v>
      </c>
      <c r="H38" s="3">
        <f t="shared" si="3"/>
        <v>3.5</v>
      </c>
      <c r="I38" s="6" t="s">
        <v>35</v>
      </c>
      <c r="J38" s="3">
        <f t="shared" si="4"/>
        <v>5</v>
      </c>
      <c r="K38" s="5" t="s">
        <v>74</v>
      </c>
      <c r="L38" s="5" t="s">
        <v>70</v>
      </c>
      <c r="M38" s="5">
        <v>3.0</v>
      </c>
      <c r="N38" s="5">
        <v>3.0</v>
      </c>
      <c r="O38" s="5">
        <v>3.0</v>
      </c>
      <c r="P38" s="5">
        <v>3.0</v>
      </c>
      <c r="Q38" s="5">
        <v>4.0</v>
      </c>
      <c r="R38" s="5">
        <v>3.0</v>
      </c>
      <c r="S38" s="5">
        <v>4.0</v>
      </c>
      <c r="T38" s="5">
        <v>4.0</v>
      </c>
      <c r="U38" s="5">
        <v>5.0</v>
      </c>
      <c r="V38" s="5">
        <v>4.0</v>
      </c>
      <c r="W38" s="5">
        <v>3.0</v>
      </c>
      <c r="X38" s="5">
        <v>3.0</v>
      </c>
      <c r="Y38" s="5">
        <v>3.0</v>
      </c>
      <c r="Z38" s="5">
        <v>3.0</v>
      </c>
      <c r="AA38" s="5">
        <v>3.0</v>
      </c>
      <c r="AB38" s="5">
        <v>3.0</v>
      </c>
      <c r="AC38" s="5">
        <v>3.0</v>
      </c>
      <c r="AD38" s="5">
        <v>3.0</v>
      </c>
      <c r="AE38" s="15">
        <f t="shared" si="5"/>
        <v>3</v>
      </c>
      <c r="AF38" s="15">
        <f t="shared" si="6"/>
        <v>3</v>
      </c>
      <c r="AG38" s="15">
        <f t="shared" si="7"/>
        <v>3.5</v>
      </c>
      <c r="AH38" s="15">
        <f t="shared" si="8"/>
        <v>4</v>
      </c>
      <c r="AI38" s="15">
        <f t="shared" si="9"/>
        <v>4.5</v>
      </c>
      <c r="AJ38" s="15">
        <f t="shared" si="10"/>
        <v>3</v>
      </c>
      <c r="AK38" s="15">
        <f t="shared" si="11"/>
        <v>3</v>
      </c>
      <c r="AL38" s="15">
        <f t="shared" si="12"/>
        <v>3</v>
      </c>
    </row>
    <row r="39" ht="22.5" customHeight="1">
      <c r="A39" s="3">
        <f t="shared" si="1"/>
        <v>38</v>
      </c>
      <c r="B39" s="4">
        <v>45929.75839368056</v>
      </c>
      <c r="C39" s="5" t="s">
        <v>65</v>
      </c>
      <c r="D39" s="3">
        <f t="shared" si="2"/>
        <v>19</v>
      </c>
      <c r="E39" s="5" t="s">
        <v>27</v>
      </c>
      <c r="F39" s="5" t="s">
        <v>28</v>
      </c>
      <c r="G39" s="6" t="s">
        <v>52</v>
      </c>
      <c r="H39" s="3">
        <f t="shared" si="3"/>
        <v>5.5</v>
      </c>
      <c r="I39" s="6" t="s">
        <v>39</v>
      </c>
      <c r="J39" s="3">
        <f t="shared" si="4"/>
        <v>2</v>
      </c>
      <c r="K39" s="5" t="s">
        <v>75</v>
      </c>
      <c r="L39" s="5" t="s">
        <v>32</v>
      </c>
      <c r="M39" s="5">
        <v>4.0</v>
      </c>
      <c r="N39" s="5">
        <v>3.0</v>
      </c>
      <c r="O39" s="5">
        <v>4.0</v>
      </c>
      <c r="P39" s="5">
        <v>2.0</v>
      </c>
      <c r="Q39" s="5">
        <v>5.0</v>
      </c>
      <c r="R39" s="5">
        <v>4.0</v>
      </c>
      <c r="S39" s="5">
        <v>2.0</v>
      </c>
      <c r="T39" s="5">
        <v>4.0</v>
      </c>
      <c r="U39" s="5">
        <v>5.0</v>
      </c>
      <c r="V39" s="5">
        <v>5.0</v>
      </c>
      <c r="W39" s="5">
        <v>4.0</v>
      </c>
      <c r="X39" s="5">
        <v>3.0</v>
      </c>
      <c r="Y39" s="5">
        <v>1.0</v>
      </c>
      <c r="Z39" s="5">
        <v>4.0</v>
      </c>
      <c r="AA39" s="5">
        <v>1.0</v>
      </c>
      <c r="AB39" s="5">
        <v>4.0</v>
      </c>
      <c r="AC39" s="5">
        <v>5.0</v>
      </c>
      <c r="AD39" s="5">
        <v>5.0</v>
      </c>
      <c r="AE39" s="15">
        <f t="shared" si="5"/>
        <v>3.5</v>
      </c>
      <c r="AF39" s="15">
        <f t="shared" si="6"/>
        <v>3</v>
      </c>
      <c r="AG39" s="15">
        <f t="shared" si="7"/>
        <v>4.5</v>
      </c>
      <c r="AH39" s="15">
        <f t="shared" si="8"/>
        <v>3</v>
      </c>
      <c r="AI39" s="15">
        <f t="shared" si="9"/>
        <v>5</v>
      </c>
      <c r="AJ39" s="15">
        <f t="shared" si="10"/>
        <v>3.5</v>
      </c>
      <c r="AK39" s="15">
        <f t="shared" si="11"/>
        <v>2</v>
      </c>
      <c r="AL39" s="15">
        <f t="shared" si="12"/>
        <v>4.666666667</v>
      </c>
    </row>
    <row r="40" ht="22.5" customHeight="1">
      <c r="A40" s="3">
        <f t="shared" si="1"/>
        <v>39</v>
      </c>
      <c r="B40" s="4">
        <v>45929.759742546295</v>
      </c>
      <c r="C40" s="5" t="s">
        <v>26</v>
      </c>
      <c r="D40" s="3">
        <f t="shared" si="2"/>
        <v>22</v>
      </c>
      <c r="E40" s="5" t="s">
        <v>27</v>
      </c>
      <c r="F40" s="5" t="s">
        <v>76</v>
      </c>
      <c r="G40" s="6" t="s">
        <v>52</v>
      </c>
      <c r="H40" s="3">
        <f t="shared" si="3"/>
        <v>5.5</v>
      </c>
      <c r="I40" s="5" t="s">
        <v>96</v>
      </c>
      <c r="J40" s="3">
        <f t="shared" si="4"/>
        <v>11</v>
      </c>
      <c r="K40" s="5" t="s">
        <v>46</v>
      </c>
      <c r="L40" s="5" t="s">
        <v>37</v>
      </c>
      <c r="M40" s="5">
        <v>3.0</v>
      </c>
      <c r="N40" s="5">
        <v>4.0</v>
      </c>
      <c r="O40" s="5">
        <v>3.0</v>
      </c>
      <c r="P40" s="5">
        <v>4.0</v>
      </c>
      <c r="Q40" s="5">
        <v>4.0</v>
      </c>
      <c r="R40" s="5">
        <v>4.0</v>
      </c>
      <c r="S40" s="5">
        <v>4.0</v>
      </c>
      <c r="T40" s="5">
        <v>3.0</v>
      </c>
      <c r="U40" s="5">
        <v>5.0</v>
      </c>
      <c r="V40" s="5">
        <v>5.0</v>
      </c>
      <c r="W40" s="5">
        <v>4.0</v>
      </c>
      <c r="X40" s="5">
        <v>4.0</v>
      </c>
      <c r="Y40" s="5">
        <v>1.0</v>
      </c>
      <c r="Z40" s="5">
        <v>3.0</v>
      </c>
      <c r="AA40" s="5">
        <v>3.0</v>
      </c>
      <c r="AB40" s="5">
        <v>4.0</v>
      </c>
      <c r="AC40" s="5">
        <v>5.0</v>
      </c>
      <c r="AD40" s="5">
        <v>4.0</v>
      </c>
      <c r="AE40" s="15">
        <f t="shared" si="5"/>
        <v>3.5</v>
      </c>
      <c r="AF40" s="15">
        <f t="shared" si="6"/>
        <v>3.5</v>
      </c>
      <c r="AG40" s="15">
        <f t="shared" si="7"/>
        <v>4</v>
      </c>
      <c r="AH40" s="15">
        <f t="shared" si="8"/>
        <v>3.5</v>
      </c>
      <c r="AI40" s="15">
        <f t="shared" si="9"/>
        <v>5</v>
      </c>
      <c r="AJ40" s="15">
        <f t="shared" si="10"/>
        <v>4</v>
      </c>
      <c r="AK40" s="15">
        <f t="shared" si="11"/>
        <v>2.333333333</v>
      </c>
      <c r="AL40" s="15">
        <f t="shared" si="12"/>
        <v>4.333333333</v>
      </c>
    </row>
    <row r="41" ht="22.5" customHeight="1">
      <c r="A41" s="3">
        <f t="shared" si="1"/>
        <v>40</v>
      </c>
      <c r="B41" s="4">
        <v>45929.76967238426</v>
      </c>
      <c r="C41" s="5" t="s">
        <v>26</v>
      </c>
      <c r="D41" s="3">
        <f t="shared" si="2"/>
        <v>22</v>
      </c>
      <c r="E41" s="5" t="s">
        <v>33</v>
      </c>
      <c r="F41" s="5" t="s">
        <v>38</v>
      </c>
      <c r="G41" s="5" t="s">
        <v>29</v>
      </c>
      <c r="H41" s="3">
        <f t="shared" si="3"/>
        <v>7</v>
      </c>
      <c r="I41" s="5" t="s">
        <v>96</v>
      </c>
      <c r="J41" s="3">
        <f t="shared" si="4"/>
        <v>11</v>
      </c>
      <c r="K41" s="5" t="s">
        <v>77</v>
      </c>
      <c r="L41" s="5" t="s">
        <v>37</v>
      </c>
      <c r="M41" s="5">
        <v>4.0</v>
      </c>
      <c r="N41" s="5">
        <v>3.0</v>
      </c>
      <c r="O41" s="5">
        <v>4.0</v>
      </c>
      <c r="P41" s="5">
        <v>5.0</v>
      </c>
      <c r="Q41" s="5">
        <v>5.0</v>
      </c>
      <c r="R41" s="5">
        <v>5.0</v>
      </c>
      <c r="S41" s="5">
        <v>4.0</v>
      </c>
      <c r="T41" s="5">
        <v>5.0</v>
      </c>
      <c r="U41" s="5">
        <v>5.0</v>
      </c>
      <c r="V41" s="5">
        <v>5.0</v>
      </c>
      <c r="W41" s="5">
        <v>4.0</v>
      </c>
      <c r="X41" s="5">
        <v>2.0</v>
      </c>
      <c r="Y41" s="5">
        <v>1.0</v>
      </c>
      <c r="Z41" s="5">
        <v>2.0</v>
      </c>
      <c r="AA41" s="5">
        <v>3.0</v>
      </c>
      <c r="AB41" s="5">
        <v>5.0</v>
      </c>
      <c r="AC41" s="5">
        <v>5.0</v>
      </c>
      <c r="AD41" s="5">
        <v>5.0</v>
      </c>
      <c r="AE41" s="15">
        <f t="shared" si="5"/>
        <v>3.5</v>
      </c>
      <c r="AF41" s="15">
        <f t="shared" si="6"/>
        <v>4.5</v>
      </c>
      <c r="AG41" s="15">
        <f t="shared" si="7"/>
        <v>5</v>
      </c>
      <c r="AH41" s="15">
        <f t="shared" si="8"/>
        <v>4.5</v>
      </c>
      <c r="AI41" s="15">
        <f t="shared" si="9"/>
        <v>5</v>
      </c>
      <c r="AJ41" s="15">
        <f t="shared" si="10"/>
        <v>3</v>
      </c>
      <c r="AK41" s="15">
        <f t="shared" si="11"/>
        <v>2</v>
      </c>
      <c r="AL41" s="15">
        <f t="shared" si="12"/>
        <v>5</v>
      </c>
    </row>
    <row r="42" ht="22.5" customHeight="1">
      <c r="A42" s="3">
        <f t="shared" si="1"/>
        <v>41</v>
      </c>
      <c r="B42" s="4">
        <v>45929.77058600694</v>
      </c>
      <c r="C42" s="5" t="s">
        <v>48</v>
      </c>
      <c r="D42" s="3">
        <f t="shared" si="2"/>
        <v>25</v>
      </c>
      <c r="E42" s="5" t="s">
        <v>33</v>
      </c>
      <c r="F42" s="5" t="s">
        <v>28</v>
      </c>
      <c r="G42" s="6" t="s">
        <v>34</v>
      </c>
      <c r="H42" s="3">
        <f t="shared" si="3"/>
        <v>3.5</v>
      </c>
      <c r="I42" s="6" t="s">
        <v>35</v>
      </c>
      <c r="J42" s="3">
        <f t="shared" si="4"/>
        <v>5</v>
      </c>
      <c r="K42" s="5" t="s">
        <v>78</v>
      </c>
      <c r="L42" s="5" t="s">
        <v>37</v>
      </c>
      <c r="M42" s="5">
        <v>4.0</v>
      </c>
      <c r="N42" s="5">
        <v>3.0</v>
      </c>
      <c r="O42" s="5">
        <v>3.0</v>
      </c>
      <c r="P42" s="5">
        <v>4.0</v>
      </c>
      <c r="Q42" s="5">
        <v>5.0</v>
      </c>
      <c r="R42" s="5">
        <v>4.0</v>
      </c>
      <c r="S42" s="5">
        <v>5.0</v>
      </c>
      <c r="T42" s="5">
        <v>5.0</v>
      </c>
      <c r="U42" s="5">
        <v>5.0</v>
      </c>
      <c r="V42" s="5">
        <v>5.0</v>
      </c>
      <c r="W42" s="5">
        <v>4.0</v>
      </c>
      <c r="X42" s="5">
        <v>3.0</v>
      </c>
      <c r="Y42" s="5">
        <v>3.0</v>
      </c>
      <c r="Z42" s="5">
        <v>3.0</v>
      </c>
      <c r="AA42" s="5">
        <v>4.0</v>
      </c>
      <c r="AB42" s="5">
        <v>4.0</v>
      </c>
      <c r="AC42" s="5">
        <v>4.0</v>
      </c>
      <c r="AD42" s="5">
        <v>4.0</v>
      </c>
      <c r="AE42" s="15">
        <f t="shared" si="5"/>
        <v>3.5</v>
      </c>
      <c r="AF42" s="15">
        <f t="shared" si="6"/>
        <v>3.5</v>
      </c>
      <c r="AG42" s="15">
        <f t="shared" si="7"/>
        <v>4.5</v>
      </c>
      <c r="AH42" s="15">
        <f t="shared" si="8"/>
        <v>5</v>
      </c>
      <c r="AI42" s="15">
        <f t="shared" si="9"/>
        <v>5</v>
      </c>
      <c r="AJ42" s="15">
        <f t="shared" si="10"/>
        <v>3.5</v>
      </c>
      <c r="AK42" s="15">
        <f t="shared" si="11"/>
        <v>3.333333333</v>
      </c>
      <c r="AL42" s="15">
        <f t="shared" si="12"/>
        <v>4</v>
      </c>
    </row>
    <row r="43" ht="22.5" customHeight="1">
      <c r="A43" s="3">
        <f t="shared" si="1"/>
        <v>42</v>
      </c>
      <c r="B43" s="4">
        <v>45929.77228831018</v>
      </c>
      <c r="C43" s="5" t="s">
        <v>26</v>
      </c>
      <c r="D43" s="3">
        <f t="shared" si="2"/>
        <v>22</v>
      </c>
      <c r="E43" s="5" t="s">
        <v>33</v>
      </c>
      <c r="F43" s="5" t="s">
        <v>64</v>
      </c>
      <c r="G43" s="6" t="s">
        <v>34</v>
      </c>
      <c r="H43" s="3">
        <f t="shared" si="3"/>
        <v>3.5</v>
      </c>
      <c r="I43" s="6" t="s">
        <v>35</v>
      </c>
      <c r="J43" s="3">
        <f t="shared" si="4"/>
        <v>5</v>
      </c>
      <c r="K43" s="5" t="s">
        <v>46</v>
      </c>
      <c r="L43" s="5" t="s">
        <v>37</v>
      </c>
      <c r="M43" s="5">
        <v>5.0</v>
      </c>
      <c r="N43" s="5">
        <v>5.0</v>
      </c>
      <c r="O43" s="5">
        <v>5.0</v>
      </c>
      <c r="P43" s="5">
        <v>5.0</v>
      </c>
      <c r="Q43" s="5">
        <v>5.0</v>
      </c>
      <c r="R43" s="5">
        <v>5.0</v>
      </c>
      <c r="S43" s="5">
        <v>5.0</v>
      </c>
      <c r="T43" s="5">
        <v>4.0</v>
      </c>
      <c r="U43" s="5">
        <v>5.0</v>
      </c>
      <c r="V43" s="5">
        <v>5.0</v>
      </c>
      <c r="W43" s="5">
        <v>4.0</v>
      </c>
      <c r="X43" s="5">
        <v>3.0</v>
      </c>
      <c r="Y43" s="5">
        <v>2.0</v>
      </c>
      <c r="Z43" s="5">
        <v>2.0</v>
      </c>
      <c r="AA43" s="5">
        <v>4.0</v>
      </c>
      <c r="AB43" s="5">
        <v>4.0</v>
      </c>
      <c r="AC43" s="5">
        <v>5.0</v>
      </c>
      <c r="AD43" s="5">
        <v>4.0</v>
      </c>
      <c r="AE43" s="15">
        <f t="shared" si="5"/>
        <v>5</v>
      </c>
      <c r="AF43" s="15">
        <f t="shared" si="6"/>
        <v>5</v>
      </c>
      <c r="AG43" s="15">
        <f t="shared" si="7"/>
        <v>5</v>
      </c>
      <c r="AH43" s="15">
        <f t="shared" si="8"/>
        <v>4.5</v>
      </c>
      <c r="AI43" s="15">
        <f t="shared" si="9"/>
        <v>5</v>
      </c>
      <c r="AJ43" s="15">
        <f t="shared" si="10"/>
        <v>3.5</v>
      </c>
      <c r="AK43" s="15">
        <f t="shared" si="11"/>
        <v>2.666666667</v>
      </c>
      <c r="AL43" s="15">
        <f t="shared" si="12"/>
        <v>4.333333333</v>
      </c>
    </row>
    <row r="44" ht="22.5" customHeight="1">
      <c r="A44" s="3">
        <f t="shared" si="1"/>
        <v>43</v>
      </c>
      <c r="B44" s="4">
        <v>45929.82658349537</v>
      </c>
      <c r="C44" s="5" t="s">
        <v>48</v>
      </c>
      <c r="D44" s="3">
        <f t="shared" si="2"/>
        <v>25</v>
      </c>
      <c r="E44" s="5" t="s">
        <v>33</v>
      </c>
      <c r="F44" s="5" t="s">
        <v>44</v>
      </c>
      <c r="G44" s="6" t="s">
        <v>34</v>
      </c>
      <c r="H44" s="3">
        <f t="shared" si="3"/>
        <v>3.5</v>
      </c>
      <c r="I44" s="6" t="s">
        <v>39</v>
      </c>
      <c r="J44" s="3">
        <f t="shared" si="4"/>
        <v>2</v>
      </c>
      <c r="K44" s="5" t="s">
        <v>53</v>
      </c>
      <c r="L44" s="5" t="s">
        <v>32</v>
      </c>
      <c r="M44" s="5">
        <v>5.0</v>
      </c>
      <c r="N44" s="5">
        <v>5.0</v>
      </c>
      <c r="O44" s="5">
        <v>4.0</v>
      </c>
      <c r="P44" s="5">
        <v>5.0</v>
      </c>
      <c r="Q44" s="5">
        <v>3.0</v>
      </c>
      <c r="R44" s="5">
        <v>3.0</v>
      </c>
      <c r="S44" s="5">
        <v>5.0</v>
      </c>
      <c r="T44" s="5">
        <v>3.0</v>
      </c>
      <c r="U44" s="5">
        <v>4.0</v>
      </c>
      <c r="V44" s="5">
        <v>3.0</v>
      </c>
      <c r="W44" s="5">
        <v>3.0</v>
      </c>
      <c r="X44" s="5">
        <v>2.0</v>
      </c>
      <c r="Y44" s="5">
        <v>3.0</v>
      </c>
      <c r="Z44" s="5">
        <v>4.0</v>
      </c>
      <c r="AA44" s="5">
        <v>4.0</v>
      </c>
      <c r="AB44" s="5">
        <v>4.0</v>
      </c>
      <c r="AC44" s="5">
        <v>4.0</v>
      </c>
      <c r="AD44" s="5">
        <v>4.0</v>
      </c>
      <c r="AE44" s="15">
        <f t="shared" si="5"/>
        <v>5</v>
      </c>
      <c r="AF44" s="15">
        <f t="shared" si="6"/>
        <v>4.5</v>
      </c>
      <c r="AG44" s="15">
        <f t="shared" si="7"/>
        <v>3</v>
      </c>
      <c r="AH44" s="15">
        <f t="shared" si="8"/>
        <v>4</v>
      </c>
      <c r="AI44" s="15">
        <f t="shared" si="9"/>
        <v>3.5</v>
      </c>
      <c r="AJ44" s="15">
        <f t="shared" si="10"/>
        <v>2.5</v>
      </c>
      <c r="AK44" s="15">
        <f t="shared" si="11"/>
        <v>3.666666667</v>
      </c>
      <c r="AL44" s="15">
        <f t="shared" si="12"/>
        <v>4</v>
      </c>
    </row>
    <row r="45" ht="22.5" customHeight="1">
      <c r="A45" s="3">
        <f t="shared" si="1"/>
        <v>44</v>
      </c>
      <c r="B45" s="4">
        <v>45929.83803429398</v>
      </c>
      <c r="C45" s="5" t="s">
        <v>48</v>
      </c>
      <c r="D45" s="3">
        <f t="shared" si="2"/>
        <v>25</v>
      </c>
      <c r="E45" s="5" t="s">
        <v>27</v>
      </c>
      <c r="F45" s="5" t="s">
        <v>38</v>
      </c>
      <c r="G45" s="6" t="s">
        <v>52</v>
      </c>
      <c r="H45" s="3">
        <f t="shared" si="3"/>
        <v>5.5</v>
      </c>
      <c r="I45" s="5" t="s">
        <v>96</v>
      </c>
      <c r="J45" s="3">
        <f t="shared" si="4"/>
        <v>11</v>
      </c>
      <c r="K45" s="5" t="s">
        <v>79</v>
      </c>
      <c r="L45" s="5" t="s">
        <v>32</v>
      </c>
      <c r="M45" s="5">
        <v>5.0</v>
      </c>
      <c r="N45" s="5">
        <v>3.0</v>
      </c>
      <c r="O45" s="5">
        <v>3.0</v>
      </c>
      <c r="P45" s="5">
        <v>3.0</v>
      </c>
      <c r="Q45" s="5">
        <v>4.0</v>
      </c>
      <c r="R45" s="5">
        <v>4.0</v>
      </c>
      <c r="S45" s="5">
        <v>4.0</v>
      </c>
      <c r="T45" s="5">
        <v>4.0</v>
      </c>
      <c r="U45" s="5">
        <v>3.0</v>
      </c>
      <c r="V45" s="5">
        <v>3.0</v>
      </c>
      <c r="W45" s="5">
        <v>4.0</v>
      </c>
      <c r="X45" s="5">
        <v>2.0</v>
      </c>
      <c r="Y45" s="5">
        <v>2.0</v>
      </c>
      <c r="Z45" s="5">
        <v>2.0</v>
      </c>
      <c r="AA45" s="5">
        <v>2.0</v>
      </c>
      <c r="AB45" s="5">
        <v>3.0</v>
      </c>
      <c r="AC45" s="5">
        <v>3.0</v>
      </c>
      <c r="AD45" s="5">
        <v>3.0</v>
      </c>
      <c r="AE45" s="15">
        <f t="shared" si="5"/>
        <v>4</v>
      </c>
      <c r="AF45" s="15">
        <f t="shared" si="6"/>
        <v>3</v>
      </c>
      <c r="AG45" s="15">
        <f t="shared" si="7"/>
        <v>4</v>
      </c>
      <c r="AH45" s="15">
        <f t="shared" si="8"/>
        <v>4</v>
      </c>
      <c r="AI45" s="15">
        <f t="shared" si="9"/>
        <v>3</v>
      </c>
      <c r="AJ45" s="15">
        <f t="shared" si="10"/>
        <v>3</v>
      </c>
      <c r="AK45" s="15">
        <f t="shared" si="11"/>
        <v>2</v>
      </c>
      <c r="AL45" s="15">
        <f t="shared" si="12"/>
        <v>3</v>
      </c>
    </row>
    <row r="46" ht="22.5" customHeight="1">
      <c r="A46" s="3">
        <f t="shared" si="1"/>
        <v>45</v>
      </c>
      <c r="B46" s="4">
        <v>45929.88506241898</v>
      </c>
      <c r="C46" s="5" t="s">
        <v>26</v>
      </c>
      <c r="D46" s="3">
        <f t="shared" si="2"/>
        <v>22</v>
      </c>
      <c r="E46" s="5" t="s">
        <v>33</v>
      </c>
      <c r="F46" s="5" t="s">
        <v>28</v>
      </c>
      <c r="G46" s="6" t="s">
        <v>52</v>
      </c>
      <c r="H46" s="3">
        <f t="shared" si="3"/>
        <v>5.5</v>
      </c>
      <c r="I46" s="6" t="s">
        <v>41</v>
      </c>
      <c r="J46" s="3">
        <f t="shared" si="4"/>
        <v>8</v>
      </c>
      <c r="K46" s="5" t="s">
        <v>57</v>
      </c>
      <c r="L46" s="5" t="s">
        <v>37</v>
      </c>
      <c r="M46" s="5">
        <v>4.0</v>
      </c>
      <c r="N46" s="5">
        <v>3.0</v>
      </c>
      <c r="O46" s="5">
        <v>2.0</v>
      </c>
      <c r="P46" s="5">
        <v>2.0</v>
      </c>
      <c r="Q46" s="5">
        <v>4.0</v>
      </c>
      <c r="R46" s="5">
        <v>4.0</v>
      </c>
      <c r="S46" s="5">
        <v>4.0</v>
      </c>
      <c r="T46" s="5">
        <v>3.0</v>
      </c>
      <c r="U46" s="5">
        <v>4.0</v>
      </c>
      <c r="V46" s="5">
        <v>4.0</v>
      </c>
      <c r="W46" s="5">
        <v>2.0</v>
      </c>
      <c r="X46" s="5">
        <v>2.0</v>
      </c>
      <c r="Y46" s="5">
        <v>1.0</v>
      </c>
      <c r="Z46" s="5">
        <v>1.0</v>
      </c>
      <c r="AA46" s="5">
        <v>1.0</v>
      </c>
      <c r="AB46" s="5">
        <v>2.0</v>
      </c>
      <c r="AC46" s="5">
        <v>2.0</v>
      </c>
      <c r="AD46" s="5">
        <v>2.0</v>
      </c>
      <c r="AE46" s="15">
        <f t="shared" si="5"/>
        <v>3.5</v>
      </c>
      <c r="AF46" s="15">
        <f t="shared" si="6"/>
        <v>2</v>
      </c>
      <c r="AG46" s="15">
        <f t="shared" si="7"/>
        <v>4</v>
      </c>
      <c r="AH46" s="15">
        <f t="shared" si="8"/>
        <v>3.5</v>
      </c>
      <c r="AI46" s="15">
        <f t="shared" si="9"/>
        <v>4</v>
      </c>
      <c r="AJ46" s="15">
        <f t="shared" si="10"/>
        <v>2</v>
      </c>
      <c r="AK46" s="15">
        <f t="shared" si="11"/>
        <v>1</v>
      </c>
      <c r="AL46" s="15">
        <f t="shared" si="12"/>
        <v>2</v>
      </c>
    </row>
    <row r="47" ht="22.5" customHeight="1">
      <c r="A47" s="3">
        <f t="shared" si="1"/>
        <v>46</v>
      </c>
      <c r="B47" s="4">
        <v>45929.94525626158</v>
      </c>
      <c r="C47" s="5" t="s">
        <v>65</v>
      </c>
      <c r="D47" s="3">
        <f t="shared" si="2"/>
        <v>19</v>
      </c>
      <c r="E47" s="5" t="s">
        <v>33</v>
      </c>
      <c r="F47" s="5" t="s">
        <v>28</v>
      </c>
      <c r="G47" s="6" t="s">
        <v>34</v>
      </c>
      <c r="H47" s="3">
        <f t="shared" si="3"/>
        <v>3.5</v>
      </c>
      <c r="I47" s="6" t="s">
        <v>35</v>
      </c>
      <c r="J47" s="3">
        <f t="shared" si="4"/>
        <v>5</v>
      </c>
      <c r="K47" s="5" t="s">
        <v>78</v>
      </c>
      <c r="L47" s="5" t="s">
        <v>37</v>
      </c>
      <c r="M47" s="5">
        <v>3.0</v>
      </c>
      <c r="N47" s="5">
        <v>4.0</v>
      </c>
      <c r="O47" s="5">
        <v>3.0</v>
      </c>
      <c r="P47" s="5">
        <v>4.0</v>
      </c>
      <c r="Q47" s="5">
        <v>5.0</v>
      </c>
      <c r="R47" s="5">
        <v>4.0</v>
      </c>
      <c r="S47" s="5">
        <v>4.0</v>
      </c>
      <c r="T47" s="5">
        <v>4.0</v>
      </c>
      <c r="U47" s="5">
        <v>4.0</v>
      </c>
      <c r="V47" s="5">
        <v>4.0</v>
      </c>
      <c r="W47" s="5">
        <v>4.0</v>
      </c>
      <c r="X47" s="5">
        <v>3.0</v>
      </c>
      <c r="Y47" s="5">
        <v>3.0</v>
      </c>
      <c r="Z47" s="5">
        <v>3.0</v>
      </c>
      <c r="AA47" s="5">
        <v>4.0</v>
      </c>
      <c r="AB47" s="5">
        <v>4.0</v>
      </c>
      <c r="AC47" s="5">
        <v>4.0</v>
      </c>
      <c r="AD47" s="5">
        <v>4.0</v>
      </c>
      <c r="AE47" s="15">
        <f t="shared" si="5"/>
        <v>3.5</v>
      </c>
      <c r="AF47" s="15">
        <f t="shared" si="6"/>
        <v>3.5</v>
      </c>
      <c r="AG47" s="15">
        <f t="shared" si="7"/>
        <v>4.5</v>
      </c>
      <c r="AH47" s="15">
        <f t="shared" si="8"/>
        <v>4</v>
      </c>
      <c r="AI47" s="15">
        <f t="shared" si="9"/>
        <v>4</v>
      </c>
      <c r="AJ47" s="15">
        <f t="shared" si="10"/>
        <v>3.5</v>
      </c>
      <c r="AK47" s="15">
        <f t="shared" si="11"/>
        <v>3.333333333</v>
      </c>
      <c r="AL47" s="15">
        <f t="shared" si="12"/>
        <v>4</v>
      </c>
    </row>
    <row r="48" ht="22.5" customHeight="1">
      <c r="A48" s="3">
        <f t="shared" si="1"/>
        <v>47</v>
      </c>
      <c r="B48" s="4">
        <v>45930.58732366898</v>
      </c>
      <c r="C48" s="5" t="s">
        <v>26</v>
      </c>
      <c r="D48" s="3">
        <f t="shared" si="2"/>
        <v>22</v>
      </c>
      <c r="E48" s="5" t="s">
        <v>33</v>
      </c>
      <c r="F48" s="5" t="s">
        <v>28</v>
      </c>
      <c r="G48" s="6" t="s">
        <v>34</v>
      </c>
      <c r="H48" s="3">
        <f t="shared" si="3"/>
        <v>3.5</v>
      </c>
      <c r="I48" s="6" t="s">
        <v>35</v>
      </c>
      <c r="J48" s="3">
        <f t="shared" si="4"/>
        <v>5</v>
      </c>
      <c r="K48" s="5" t="s">
        <v>80</v>
      </c>
      <c r="L48" s="5" t="s">
        <v>37</v>
      </c>
      <c r="M48" s="5">
        <v>2.0</v>
      </c>
      <c r="N48" s="5">
        <v>4.0</v>
      </c>
      <c r="O48" s="5">
        <v>1.0</v>
      </c>
      <c r="P48" s="5">
        <v>3.0</v>
      </c>
      <c r="Q48" s="5">
        <v>5.0</v>
      </c>
      <c r="R48" s="5">
        <v>1.0</v>
      </c>
      <c r="S48" s="5">
        <v>5.0</v>
      </c>
      <c r="T48" s="5">
        <v>3.0</v>
      </c>
      <c r="U48" s="5">
        <v>4.0</v>
      </c>
      <c r="V48" s="5">
        <v>1.0</v>
      </c>
      <c r="W48" s="5">
        <v>1.0</v>
      </c>
      <c r="X48" s="5">
        <v>1.0</v>
      </c>
      <c r="Y48" s="5">
        <v>4.0</v>
      </c>
      <c r="Z48" s="5">
        <v>1.0</v>
      </c>
      <c r="AA48" s="5">
        <v>2.0</v>
      </c>
      <c r="AB48" s="5">
        <v>1.0</v>
      </c>
      <c r="AC48" s="5">
        <v>5.0</v>
      </c>
      <c r="AD48" s="5">
        <v>3.0</v>
      </c>
      <c r="AE48" s="15">
        <f t="shared" si="5"/>
        <v>3</v>
      </c>
      <c r="AF48" s="15">
        <f t="shared" si="6"/>
        <v>2</v>
      </c>
      <c r="AG48" s="15">
        <f t="shared" si="7"/>
        <v>3</v>
      </c>
      <c r="AH48" s="15">
        <f t="shared" si="8"/>
        <v>4</v>
      </c>
      <c r="AI48" s="15">
        <f t="shared" si="9"/>
        <v>2.5</v>
      </c>
      <c r="AJ48" s="15">
        <f t="shared" si="10"/>
        <v>1</v>
      </c>
      <c r="AK48" s="15">
        <f t="shared" si="11"/>
        <v>2.333333333</v>
      </c>
      <c r="AL48" s="15">
        <f t="shared" si="12"/>
        <v>3</v>
      </c>
    </row>
    <row r="49" ht="22.5" customHeight="1">
      <c r="A49" s="3">
        <f t="shared" si="1"/>
        <v>48</v>
      </c>
      <c r="B49" s="4">
        <v>45932.437920717595</v>
      </c>
      <c r="D49" s="3" t="str">
        <f t="shared" si="2"/>
        <v/>
      </c>
      <c r="H49" s="3" t="str">
        <f t="shared" si="3"/>
        <v/>
      </c>
      <c r="I49" s="6" t="s">
        <v>41</v>
      </c>
      <c r="J49" s="3">
        <f t="shared" si="4"/>
        <v>8</v>
      </c>
      <c r="K49" s="5" t="s">
        <v>81</v>
      </c>
      <c r="L49" s="5" t="s">
        <v>37</v>
      </c>
      <c r="M49" s="5">
        <v>5.0</v>
      </c>
      <c r="N49" s="5">
        <v>4.0</v>
      </c>
      <c r="O49" s="5">
        <v>4.0</v>
      </c>
      <c r="P49" s="5">
        <v>4.0</v>
      </c>
      <c r="Q49" s="5">
        <v>5.0</v>
      </c>
      <c r="R49" s="5">
        <v>4.0</v>
      </c>
      <c r="S49" s="5">
        <v>4.0</v>
      </c>
      <c r="T49" s="5">
        <v>5.0</v>
      </c>
      <c r="U49" s="5">
        <v>5.0</v>
      </c>
      <c r="V49" s="5">
        <v>4.0</v>
      </c>
      <c r="W49" s="5">
        <v>4.0</v>
      </c>
      <c r="X49" s="5">
        <v>3.0</v>
      </c>
      <c r="Y49" s="5">
        <v>2.0</v>
      </c>
      <c r="Z49" s="5">
        <v>2.0</v>
      </c>
      <c r="AA49" s="5">
        <v>4.0</v>
      </c>
      <c r="AB49" s="5">
        <v>4.0</v>
      </c>
      <c r="AC49" s="5">
        <v>5.0</v>
      </c>
      <c r="AD49" s="5">
        <v>4.0</v>
      </c>
      <c r="AE49" s="15">
        <f t="shared" si="5"/>
        <v>4.5</v>
      </c>
      <c r="AF49" s="15">
        <f t="shared" si="6"/>
        <v>4</v>
      </c>
      <c r="AG49" s="15">
        <f t="shared" si="7"/>
        <v>4.5</v>
      </c>
      <c r="AH49" s="15">
        <f t="shared" si="8"/>
        <v>4.5</v>
      </c>
      <c r="AI49" s="15">
        <f t="shared" si="9"/>
        <v>4.5</v>
      </c>
      <c r="AJ49" s="15">
        <f t="shared" si="10"/>
        <v>3.5</v>
      </c>
      <c r="AK49" s="15">
        <f t="shared" si="11"/>
        <v>2.666666667</v>
      </c>
      <c r="AL49" s="15">
        <f t="shared" si="12"/>
        <v>4.333333333</v>
      </c>
    </row>
    <row r="50" ht="22.5" customHeight="1">
      <c r="A50" s="3">
        <f t="shared" si="1"/>
        <v>49</v>
      </c>
      <c r="B50" s="4">
        <v>45932.738391770836</v>
      </c>
      <c r="C50" s="5" t="s">
        <v>59</v>
      </c>
      <c r="D50" s="3">
        <f t="shared" si="2"/>
        <v>29</v>
      </c>
      <c r="E50" s="5" t="s">
        <v>27</v>
      </c>
      <c r="F50" s="5" t="s">
        <v>28</v>
      </c>
      <c r="G50" s="6" t="s">
        <v>34</v>
      </c>
      <c r="H50" s="3">
        <f t="shared" si="3"/>
        <v>3.5</v>
      </c>
      <c r="I50" s="6" t="s">
        <v>35</v>
      </c>
      <c r="J50" s="3">
        <f t="shared" si="4"/>
        <v>5</v>
      </c>
      <c r="K50" s="5" t="s">
        <v>42</v>
      </c>
      <c r="L50" s="5" t="s">
        <v>37</v>
      </c>
      <c r="M50" s="5">
        <v>3.0</v>
      </c>
      <c r="N50" s="5">
        <v>3.0</v>
      </c>
      <c r="O50" s="5">
        <v>4.0</v>
      </c>
      <c r="P50" s="5">
        <v>4.0</v>
      </c>
      <c r="Q50" s="5">
        <v>4.0</v>
      </c>
      <c r="R50" s="5">
        <v>4.0</v>
      </c>
      <c r="S50" s="5">
        <v>4.0</v>
      </c>
      <c r="T50" s="5">
        <v>4.0</v>
      </c>
      <c r="U50" s="5">
        <v>3.0</v>
      </c>
      <c r="V50" s="5">
        <v>3.0</v>
      </c>
      <c r="W50" s="5">
        <v>3.0</v>
      </c>
      <c r="X50" s="5">
        <v>4.0</v>
      </c>
      <c r="Y50" s="5">
        <v>4.0</v>
      </c>
      <c r="Z50" s="5">
        <v>4.0</v>
      </c>
      <c r="AA50" s="5">
        <v>4.0</v>
      </c>
      <c r="AB50" s="5">
        <v>4.0</v>
      </c>
      <c r="AC50" s="5">
        <v>4.0</v>
      </c>
      <c r="AD50" s="5">
        <v>4.0</v>
      </c>
      <c r="AE50" s="15">
        <f t="shared" si="5"/>
        <v>3</v>
      </c>
      <c r="AF50" s="15">
        <f t="shared" si="6"/>
        <v>4</v>
      </c>
      <c r="AG50" s="15">
        <f t="shared" si="7"/>
        <v>4</v>
      </c>
      <c r="AH50" s="15">
        <f t="shared" si="8"/>
        <v>4</v>
      </c>
      <c r="AI50" s="15">
        <f t="shared" si="9"/>
        <v>3</v>
      </c>
      <c r="AJ50" s="15">
        <f t="shared" si="10"/>
        <v>3.5</v>
      </c>
      <c r="AK50" s="15">
        <f t="shared" si="11"/>
        <v>4</v>
      </c>
      <c r="AL50" s="15">
        <f t="shared" si="12"/>
        <v>4</v>
      </c>
    </row>
    <row r="51" ht="22.5" customHeight="1">
      <c r="A51" s="3">
        <f t="shared" si="1"/>
        <v>50</v>
      </c>
      <c r="B51" s="4">
        <v>45933.04635422454</v>
      </c>
      <c r="C51" s="5" t="s">
        <v>59</v>
      </c>
      <c r="D51" s="3">
        <f t="shared" si="2"/>
        <v>29</v>
      </c>
      <c r="E51" s="5" t="s">
        <v>27</v>
      </c>
      <c r="F51" s="5" t="s">
        <v>55</v>
      </c>
      <c r="G51" s="6" t="s">
        <v>34</v>
      </c>
      <c r="H51" s="3">
        <f t="shared" si="3"/>
        <v>3.5</v>
      </c>
      <c r="I51" s="6" t="s">
        <v>39</v>
      </c>
      <c r="J51" s="3">
        <f t="shared" si="4"/>
        <v>2</v>
      </c>
      <c r="K51" s="5" t="s">
        <v>82</v>
      </c>
      <c r="L51" s="5" t="s">
        <v>37</v>
      </c>
      <c r="M51" s="5">
        <v>5.0</v>
      </c>
      <c r="N51" s="5">
        <v>4.0</v>
      </c>
      <c r="O51" s="5">
        <v>4.0</v>
      </c>
      <c r="P51" s="5">
        <v>4.0</v>
      </c>
      <c r="Q51" s="5">
        <v>5.0</v>
      </c>
      <c r="R51" s="5">
        <v>4.0</v>
      </c>
      <c r="S51" s="5">
        <v>4.0</v>
      </c>
      <c r="T51" s="5">
        <v>4.0</v>
      </c>
      <c r="U51" s="5">
        <v>4.0</v>
      </c>
      <c r="V51" s="5">
        <v>4.0</v>
      </c>
      <c r="W51" s="5">
        <v>4.0</v>
      </c>
      <c r="X51" s="5">
        <v>4.0</v>
      </c>
      <c r="Y51" s="5">
        <v>3.0</v>
      </c>
      <c r="Z51" s="5">
        <v>4.0</v>
      </c>
      <c r="AA51" s="5">
        <v>4.0</v>
      </c>
      <c r="AB51" s="5">
        <v>4.0</v>
      </c>
      <c r="AC51" s="5">
        <v>4.0</v>
      </c>
      <c r="AD51" s="5">
        <v>3.0</v>
      </c>
      <c r="AE51" s="15">
        <f t="shared" si="5"/>
        <v>4.5</v>
      </c>
      <c r="AF51" s="15">
        <f t="shared" si="6"/>
        <v>4</v>
      </c>
      <c r="AG51" s="15">
        <f t="shared" si="7"/>
        <v>4.5</v>
      </c>
      <c r="AH51" s="15">
        <f t="shared" si="8"/>
        <v>4</v>
      </c>
      <c r="AI51" s="15">
        <f t="shared" si="9"/>
        <v>4</v>
      </c>
      <c r="AJ51" s="15">
        <f t="shared" si="10"/>
        <v>4</v>
      </c>
      <c r="AK51" s="15">
        <f t="shared" si="11"/>
        <v>3.666666667</v>
      </c>
      <c r="AL51" s="15">
        <f t="shared" si="12"/>
        <v>3.666666667</v>
      </c>
    </row>
    <row r="52" ht="22.5" customHeight="1">
      <c r="A52" s="3">
        <f t="shared" si="1"/>
        <v>51</v>
      </c>
      <c r="B52" s="4">
        <v>45937.467363738426</v>
      </c>
      <c r="C52" s="5" t="s">
        <v>59</v>
      </c>
      <c r="D52" s="3">
        <f t="shared" si="2"/>
        <v>29</v>
      </c>
      <c r="E52" s="5" t="s">
        <v>27</v>
      </c>
      <c r="F52" s="5" t="s">
        <v>28</v>
      </c>
      <c r="G52" s="5" t="s">
        <v>29</v>
      </c>
      <c r="H52" s="3">
        <f t="shared" si="3"/>
        <v>7</v>
      </c>
      <c r="I52" s="5" t="s">
        <v>96</v>
      </c>
      <c r="J52" s="3">
        <f t="shared" si="4"/>
        <v>11</v>
      </c>
      <c r="K52" s="5" t="s">
        <v>83</v>
      </c>
      <c r="L52" s="5" t="s">
        <v>32</v>
      </c>
      <c r="M52" s="5">
        <v>5.0</v>
      </c>
      <c r="N52" s="5">
        <v>5.0</v>
      </c>
      <c r="O52" s="5">
        <v>5.0</v>
      </c>
      <c r="P52" s="5">
        <v>5.0</v>
      </c>
      <c r="Q52" s="5">
        <v>5.0</v>
      </c>
      <c r="R52" s="5">
        <v>5.0</v>
      </c>
      <c r="S52" s="5">
        <v>4.0</v>
      </c>
      <c r="T52" s="5">
        <v>4.0</v>
      </c>
      <c r="U52" s="5">
        <v>5.0</v>
      </c>
      <c r="V52" s="5">
        <v>5.0</v>
      </c>
      <c r="W52" s="5">
        <v>5.0</v>
      </c>
      <c r="X52" s="5">
        <v>4.0</v>
      </c>
      <c r="Y52" s="5">
        <v>5.0</v>
      </c>
      <c r="Z52" s="5">
        <v>5.0</v>
      </c>
      <c r="AA52" s="5">
        <v>5.0</v>
      </c>
      <c r="AB52" s="5">
        <v>5.0</v>
      </c>
      <c r="AC52" s="5">
        <v>5.0</v>
      </c>
      <c r="AD52" s="5">
        <v>5.0</v>
      </c>
      <c r="AE52" s="15">
        <f t="shared" si="5"/>
        <v>5</v>
      </c>
      <c r="AF52" s="15">
        <f t="shared" si="6"/>
        <v>5</v>
      </c>
      <c r="AG52" s="15">
        <f t="shared" si="7"/>
        <v>5</v>
      </c>
      <c r="AH52" s="15">
        <f t="shared" si="8"/>
        <v>4</v>
      </c>
      <c r="AI52" s="15">
        <f t="shared" si="9"/>
        <v>5</v>
      </c>
      <c r="AJ52" s="15">
        <f t="shared" si="10"/>
        <v>4.5</v>
      </c>
      <c r="AK52" s="15">
        <f t="shared" si="11"/>
        <v>5</v>
      </c>
      <c r="AL52" s="15">
        <f t="shared" si="12"/>
        <v>5</v>
      </c>
    </row>
    <row r="55">
      <c r="A55" s="7"/>
      <c r="B55" s="7"/>
      <c r="C55" s="7"/>
      <c r="D55" s="7"/>
      <c r="E55" s="7"/>
      <c r="F55" s="7"/>
    </row>
    <row r="56">
      <c r="AF56" s="12"/>
      <c r="AG56" s="12"/>
      <c r="AH56" s="12"/>
      <c r="AI56" s="12"/>
      <c r="AJ56" s="12"/>
      <c r="AK56" s="12"/>
    </row>
    <row r="58">
      <c r="AE58" s="12"/>
      <c r="AF58" s="12"/>
      <c r="AG58" s="12"/>
      <c r="AH58" s="12"/>
      <c r="AI58" s="12"/>
      <c r="AJ58" s="12"/>
      <c r="AK58" s="12"/>
      <c r="AL58" s="12"/>
    </row>
    <row r="60">
      <c r="AE60" s="12"/>
      <c r="AF60" s="12"/>
      <c r="AG60" s="12"/>
      <c r="AH60" s="12"/>
      <c r="AI60" s="12"/>
      <c r="AJ60" s="12"/>
      <c r="AK60" s="12"/>
      <c r="AL60" s="12"/>
    </row>
    <row r="63">
      <c r="C63" s="8"/>
    </row>
    <row r="66">
      <c r="C66" s="9"/>
      <c r="D66" s="9"/>
      <c r="E66" s="9"/>
      <c r="F66" s="9"/>
      <c r="G66" s="9"/>
      <c r="H66" s="9"/>
      <c r="I66" s="9"/>
      <c r="J66" s="9"/>
      <c r="K66" s="9"/>
    </row>
    <row r="67">
      <c r="D67" s="10"/>
      <c r="E67" s="10"/>
      <c r="F67" s="10"/>
      <c r="G67" s="10"/>
      <c r="H67" s="10"/>
      <c r="I67" s="10"/>
      <c r="J67" s="10"/>
      <c r="K67" s="10"/>
      <c r="L67" s="10"/>
    </row>
    <row r="68">
      <c r="D68" s="11"/>
      <c r="E68" s="11"/>
      <c r="F68" s="12"/>
      <c r="L68" s="13"/>
    </row>
    <row r="69">
      <c r="D69" s="11"/>
      <c r="E69" s="11"/>
      <c r="F69" s="12"/>
      <c r="L69" s="13"/>
    </row>
    <row r="70">
      <c r="D70" s="11"/>
      <c r="E70" s="11"/>
      <c r="F70" s="12"/>
      <c r="L70" s="13"/>
    </row>
    <row r="71">
      <c r="D71" s="11"/>
      <c r="E71" s="11"/>
      <c r="F71" s="12"/>
      <c r="L71" s="13"/>
    </row>
    <row r="72">
      <c r="D72" s="11"/>
      <c r="E72" s="11"/>
      <c r="F72" s="12"/>
      <c r="L72" s="13"/>
    </row>
    <row r="73">
      <c r="D73" s="11"/>
      <c r="E73" s="11"/>
      <c r="F73" s="12"/>
      <c r="L73" s="13"/>
    </row>
    <row r="74">
      <c r="D74" s="11"/>
      <c r="E74" s="11"/>
      <c r="F74" s="12"/>
      <c r="L74" s="13"/>
    </row>
    <row r="75">
      <c r="D75" s="11"/>
      <c r="E75" s="11"/>
      <c r="F75" s="12"/>
      <c r="L75" s="1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0"/>
    <col customWidth="1" min="3" max="4" width="17.38"/>
    <col customWidth="1" min="5" max="5" width="20.88"/>
    <col customWidth="1" min="6" max="6" width="19.88"/>
    <col customWidth="1" min="7" max="7" width="23.38"/>
    <col customWidth="1" min="8" max="8" width="21.88"/>
    <col customWidth="1" min="9" max="9" width="24.13"/>
    <col customWidth="1" min="10" max="10" width="33.25"/>
    <col customWidth="1" min="11" max="11" width="17.88"/>
    <col customWidth="1" min="12" max="12" width="21.63"/>
    <col customWidth="1" min="13" max="13" width="18.88"/>
    <col customWidth="1" min="14" max="14" width="15.5"/>
    <col customWidth="1" min="15" max="17" width="18.88"/>
    <col customWidth="1" min="18" max="18" width="24.38"/>
    <col customWidth="1" min="19" max="19" width="18.88"/>
  </cols>
  <sheetData>
    <row r="1" ht="22.5" customHeight="1">
      <c r="A1" s="16" t="s">
        <v>97</v>
      </c>
      <c r="B1" s="17" t="s">
        <v>98</v>
      </c>
      <c r="C1" s="14" t="s">
        <v>85</v>
      </c>
      <c r="D1" s="17" t="s">
        <v>99</v>
      </c>
      <c r="E1" s="17" t="s">
        <v>100</v>
      </c>
      <c r="F1" s="17" t="s">
        <v>101</v>
      </c>
      <c r="G1" s="1" t="s">
        <v>86</v>
      </c>
      <c r="H1" s="17" t="s">
        <v>102</v>
      </c>
      <c r="I1" s="14" t="s">
        <v>87</v>
      </c>
      <c r="J1" s="17" t="s">
        <v>103</v>
      </c>
      <c r="K1" s="14" t="s">
        <v>104</v>
      </c>
      <c r="L1" s="14" t="s">
        <v>105</v>
      </c>
      <c r="M1" s="18" t="s">
        <v>106</v>
      </c>
      <c r="N1" s="18" t="s">
        <v>107</v>
      </c>
      <c r="O1" s="14" t="s">
        <v>108</v>
      </c>
      <c r="P1" s="18" t="s">
        <v>109</v>
      </c>
      <c r="Q1" s="14" t="s">
        <v>110</v>
      </c>
      <c r="R1" s="14" t="s">
        <v>111</v>
      </c>
    </row>
    <row r="2" ht="22.5" customHeight="1">
      <c r="A2" s="3">
        <v>1.0</v>
      </c>
      <c r="B2" s="19" t="s">
        <v>26</v>
      </c>
      <c r="C2" s="3">
        <v>22.0</v>
      </c>
      <c r="D2" s="19" t="s">
        <v>27</v>
      </c>
      <c r="E2" s="19" t="s">
        <v>28</v>
      </c>
      <c r="F2" s="19" t="s">
        <v>29</v>
      </c>
      <c r="G2" s="3">
        <v>7.0</v>
      </c>
      <c r="H2" s="19" t="s">
        <v>96</v>
      </c>
      <c r="I2" s="3">
        <v>11.0</v>
      </c>
      <c r="J2" s="19" t="s">
        <v>32</v>
      </c>
      <c r="K2" s="3">
        <v>4.0</v>
      </c>
      <c r="L2" s="3">
        <v>4.0</v>
      </c>
      <c r="M2" s="15">
        <v>4.5</v>
      </c>
      <c r="N2" s="3">
        <v>5.0</v>
      </c>
      <c r="O2" s="3">
        <v>4.5</v>
      </c>
      <c r="P2" s="3">
        <v>4.0</v>
      </c>
      <c r="Q2" s="3">
        <v>3.3333333333333335</v>
      </c>
      <c r="R2" s="3">
        <v>4.333333333333333</v>
      </c>
    </row>
    <row r="3" ht="22.5" customHeight="1">
      <c r="A3" s="20">
        <v>2.0</v>
      </c>
      <c r="B3" s="21" t="s">
        <v>26</v>
      </c>
      <c r="C3" s="5">
        <v>22.0</v>
      </c>
      <c r="D3" s="21" t="s">
        <v>33</v>
      </c>
      <c r="E3" s="21" t="s">
        <v>28</v>
      </c>
      <c r="F3" s="22" t="s">
        <v>34</v>
      </c>
      <c r="G3" s="3">
        <v>3.5</v>
      </c>
      <c r="H3" s="22" t="s">
        <v>35</v>
      </c>
      <c r="I3" s="5">
        <v>5.0</v>
      </c>
      <c r="J3" s="21" t="s">
        <v>37</v>
      </c>
      <c r="K3" s="3">
        <v>3.5</v>
      </c>
      <c r="L3" s="3">
        <v>5.0</v>
      </c>
      <c r="M3" s="15">
        <v>3.5</v>
      </c>
      <c r="N3" s="3">
        <v>4.5</v>
      </c>
      <c r="O3" s="3">
        <v>4.5</v>
      </c>
      <c r="P3" s="3">
        <v>4.0</v>
      </c>
      <c r="Q3" s="3">
        <v>1.3333333333333333</v>
      </c>
      <c r="R3" s="3">
        <v>4.0</v>
      </c>
    </row>
    <row r="4" ht="22.5" customHeight="1">
      <c r="A4" s="20">
        <v>3.0</v>
      </c>
      <c r="B4" s="21" t="s">
        <v>26</v>
      </c>
      <c r="C4" s="5">
        <v>22.0</v>
      </c>
      <c r="D4" s="21" t="s">
        <v>27</v>
      </c>
      <c r="E4" s="21" t="s">
        <v>38</v>
      </c>
      <c r="F4" s="22" t="s">
        <v>34</v>
      </c>
      <c r="G4" s="3">
        <v>3.5</v>
      </c>
      <c r="H4" s="22" t="s">
        <v>39</v>
      </c>
      <c r="I4" s="5">
        <v>2.0</v>
      </c>
      <c r="J4" s="21" t="s">
        <v>32</v>
      </c>
      <c r="K4" s="3">
        <v>3.0</v>
      </c>
      <c r="L4" s="3">
        <v>3.0</v>
      </c>
      <c r="M4" s="15">
        <v>3.5</v>
      </c>
      <c r="N4" s="3">
        <v>2.5</v>
      </c>
      <c r="O4" s="3">
        <v>5.0</v>
      </c>
      <c r="P4" s="3">
        <v>3.0</v>
      </c>
      <c r="Q4" s="3">
        <v>2.6666666666666665</v>
      </c>
      <c r="R4" s="3">
        <v>4.0</v>
      </c>
    </row>
    <row r="5" ht="22.5" customHeight="1">
      <c r="A5" s="20">
        <v>4.0</v>
      </c>
      <c r="B5" s="21" t="s">
        <v>26</v>
      </c>
      <c r="C5" s="5">
        <v>22.0</v>
      </c>
      <c r="D5" s="21" t="s">
        <v>27</v>
      </c>
      <c r="E5" s="21" t="s">
        <v>28</v>
      </c>
      <c r="F5" s="22" t="s">
        <v>34</v>
      </c>
      <c r="G5" s="3">
        <v>3.5</v>
      </c>
      <c r="H5" s="22" t="s">
        <v>41</v>
      </c>
      <c r="I5" s="5">
        <v>8.0</v>
      </c>
      <c r="J5" s="21" t="s">
        <v>37</v>
      </c>
      <c r="K5" s="3">
        <v>4.0</v>
      </c>
      <c r="L5" s="3">
        <v>3.5</v>
      </c>
      <c r="M5" s="15">
        <v>3.5</v>
      </c>
      <c r="N5" s="3">
        <v>4.5</v>
      </c>
      <c r="O5" s="3">
        <v>4.0</v>
      </c>
      <c r="P5" s="3">
        <v>4.0</v>
      </c>
      <c r="Q5" s="3">
        <v>3.3333333333333335</v>
      </c>
      <c r="R5" s="3">
        <v>3.6666666666666665</v>
      </c>
    </row>
    <row r="6" ht="22.5" customHeight="1">
      <c r="A6" s="20">
        <v>5.0</v>
      </c>
      <c r="B6" s="21" t="s">
        <v>26</v>
      </c>
      <c r="C6" s="5">
        <v>22.0</v>
      </c>
      <c r="D6" s="21" t="s">
        <v>33</v>
      </c>
      <c r="E6" s="21" t="s">
        <v>28</v>
      </c>
      <c r="F6" s="22" t="s">
        <v>34</v>
      </c>
      <c r="G6" s="3">
        <v>3.5</v>
      </c>
      <c r="H6" s="22" t="s">
        <v>35</v>
      </c>
      <c r="I6" s="5">
        <v>5.0</v>
      </c>
      <c r="J6" s="21" t="s">
        <v>32</v>
      </c>
      <c r="K6" s="3">
        <v>4.0</v>
      </c>
      <c r="L6" s="23">
        <v>3.5</v>
      </c>
      <c r="M6" s="15">
        <v>4.5</v>
      </c>
      <c r="N6" s="23">
        <v>5.0</v>
      </c>
      <c r="O6" s="23">
        <v>5.0</v>
      </c>
      <c r="P6" s="23">
        <v>4.0</v>
      </c>
      <c r="Q6" s="3">
        <v>4.0</v>
      </c>
      <c r="R6" s="23">
        <v>4.0</v>
      </c>
    </row>
    <row r="7" ht="22.5" customHeight="1">
      <c r="A7" s="20">
        <v>6.0</v>
      </c>
      <c r="B7" s="21" t="s">
        <v>26</v>
      </c>
      <c r="C7" s="5">
        <v>22.0</v>
      </c>
      <c r="D7" s="21" t="s">
        <v>33</v>
      </c>
      <c r="E7" s="21" t="s">
        <v>44</v>
      </c>
      <c r="F7" s="22" t="s">
        <v>45</v>
      </c>
      <c r="G7" s="3">
        <v>1.5</v>
      </c>
      <c r="H7" s="22" t="s">
        <v>35</v>
      </c>
      <c r="I7" s="5">
        <v>5.0</v>
      </c>
      <c r="J7" s="21" t="s">
        <v>32</v>
      </c>
      <c r="K7" s="3">
        <v>4.5</v>
      </c>
      <c r="L7" s="3">
        <v>3.5</v>
      </c>
      <c r="M7" s="15">
        <v>4.5</v>
      </c>
      <c r="N7" s="3">
        <v>3.5</v>
      </c>
      <c r="O7" s="3">
        <v>5.0</v>
      </c>
      <c r="P7" s="3">
        <v>4.0</v>
      </c>
      <c r="Q7" s="3">
        <v>3.6666666666666665</v>
      </c>
      <c r="R7" s="3">
        <v>4.0</v>
      </c>
    </row>
    <row r="8" ht="22.5" customHeight="1">
      <c r="A8" s="20">
        <v>7.0</v>
      </c>
      <c r="B8" s="21" t="s">
        <v>26</v>
      </c>
      <c r="C8" s="5">
        <v>22.0</v>
      </c>
      <c r="D8" s="21" t="s">
        <v>27</v>
      </c>
      <c r="E8" s="21" t="s">
        <v>28</v>
      </c>
      <c r="F8" s="22" t="s">
        <v>45</v>
      </c>
      <c r="G8" s="3">
        <v>1.5</v>
      </c>
      <c r="H8" s="22" t="s">
        <v>39</v>
      </c>
      <c r="I8" s="5">
        <v>2.0</v>
      </c>
      <c r="J8" s="21" t="s">
        <v>37</v>
      </c>
      <c r="K8" s="3">
        <v>4.5</v>
      </c>
      <c r="L8" s="3">
        <v>4.5</v>
      </c>
      <c r="M8" s="15">
        <v>4.5</v>
      </c>
      <c r="N8" s="3">
        <v>5.0</v>
      </c>
      <c r="O8" s="3">
        <v>5.0</v>
      </c>
      <c r="P8" s="3">
        <v>4.5</v>
      </c>
      <c r="Q8" s="3">
        <v>2.3333333333333335</v>
      </c>
      <c r="R8" s="3">
        <v>4.0</v>
      </c>
    </row>
    <row r="9" ht="22.5" customHeight="1">
      <c r="A9" s="20">
        <v>8.0</v>
      </c>
      <c r="B9" s="21" t="s">
        <v>48</v>
      </c>
      <c r="C9" s="5">
        <v>25.0</v>
      </c>
      <c r="D9" s="21" t="s">
        <v>27</v>
      </c>
      <c r="E9" s="21" t="s">
        <v>28</v>
      </c>
      <c r="F9" s="22" t="s">
        <v>45</v>
      </c>
      <c r="G9" s="3">
        <v>1.5</v>
      </c>
      <c r="H9" s="22" t="s">
        <v>39</v>
      </c>
      <c r="I9" s="5">
        <v>2.0</v>
      </c>
      <c r="J9" s="21" t="s">
        <v>37</v>
      </c>
      <c r="K9" s="3">
        <v>4.0</v>
      </c>
      <c r="L9" s="3">
        <v>4.0</v>
      </c>
      <c r="M9" s="15">
        <v>4.0</v>
      </c>
      <c r="N9" s="3">
        <v>4.5</v>
      </c>
      <c r="O9" s="3">
        <v>3.5</v>
      </c>
      <c r="P9" s="3">
        <v>3.0</v>
      </c>
      <c r="Q9" s="3">
        <v>1.0</v>
      </c>
      <c r="R9" s="3">
        <v>4.0</v>
      </c>
    </row>
    <row r="10" ht="22.5" customHeight="1">
      <c r="A10" s="20">
        <v>9.0</v>
      </c>
      <c r="B10" s="21" t="s">
        <v>26</v>
      </c>
      <c r="C10" s="5">
        <v>22.0</v>
      </c>
      <c r="D10" s="21" t="s">
        <v>33</v>
      </c>
      <c r="E10" s="21" t="s">
        <v>28</v>
      </c>
      <c r="F10" s="22" t="s">
        <v>45</v>
      </c>
      <c r="G10" s="3">
        <v>1.5</v>
      </c>
      <c r="H10" s="22" t="s">
        <v>39</v>
      </c>
      <c r="I10" s="5">
        <v>2.0</v>
      </c>
      <c r="J10" s="21" t="s">
        <v>37</v>
      </c>
      <c r="K10" s="3">
        <v>3.5</v>
      </c>
      <c r="L10" s="3">
        <v>3.5</v>
      </c>
      <c r="M10" s="15">
        <v>4.5</v>
      </c>
      <c r="N10" s="3">
        <v>4.0</v>
      </c>
      <c r="O10" s="3">
        <v>4.0</v>
      </c>
      <c r="P10" s="3">
        <v>2.0</v>
      </c>
      <c r="Q10" s="3">
        <v>3.0</v>
      </c>
      <c r="R10" s="3">
        <v>4.0</v>
      </c>
    </row>
    <row r="11" ht="22.5" customHeight="1">
      <c r="A11" s="20">
        <v>10.0</v>
      </c>
      <c r="B11" s="21" t="s">
        <v>26</v>
      </c>
      <c r="C11" s="5">
        <v>22.0</v>
      </c>
      <c r="D11" s="21" t="s">
        <v>27</v>
      </c>
      <c r="E11" s="21" t="s">
        <v>28</v>
      </c>
      <c r="F11" s="22" t="s">
        <v>34</v>
      </c>
      <c r="G11" s="3">
        <v>3.5</v>
      </c>
      <c r="H11" s="22" t="s">
        <v>41</v>
      </c>
      <c r="I11" s="5">
        <v>8.0</v>
      </c>
      <c r="J11" s="21" t="s">
        <v>32</v>
      </c>
      <c r="K11" s="3">
        <v>4.0</v>
      </c>
      <c r="L11" s="3">
        <v>4.0</v>
      </c>
      <c r="M11" s="15">
        <v>4.5</v>
      </c>
      <c r="N11" s="3">
        <v>4.0</v>
      </c>
      <c r="O11" s="3">
        <v>5.0</v>
      </c>
      <c r="P11" s="3">
        <v>4.5</v>
      </c>
      <c r="Q11" s="3">
        <v>3.6666666666666665</v>
      </c>
      <c r="R11" s="3">
        <v>4.666666666666667</v>
      </c>
    </row>
    <row r="12" ht="22.5" customHeight="1">
      <c r="A12" s="20">
        <v>11.0</v>
      </c>
      <c r="B12" s="21" t="s">
        <v>48</v>
      </c>
      <c r="C12" s="5">
        <v>25.0</v>
      </c>
      <c r="D12" s="21" t="s">
        <v>27</v>
      </c>
      <c r="E12" s="21" t="s">
        <v>28</v>
      </c>
      <c r="F12" s="22" t="s">
        <v>52</v>
      </c>
      <c r="G12" s="3">
        <v>5.5</v>
      </c>
      <c r="H12" s="22" t="s">
        <v>39</v>
      </c>
      <c r="I12" s="5">
        <v>2.0</v>
      </c>
      <c r="J12" s="21" t="s">
        <v>32</v>
      </c>
      <c r="K12" s="3">
        <v>4.0</v>
      </c>
      <c r="L12" s="3">
        <v>4.0</v>
      </c>
      <c r="M12" s="15">
        <v>4.5</v>
      </c>
      <c r="N12" s="3">
        <v>3.5</v>
      </c>
      <c r="O12" s="3">
        <v>5.0</v>
      </c>
      <c r="P12" s="3">
        <v>4.0</v>
      </c>
      <c r="Q12" s="3">
        <v>4.333333333333333</v>
      </c>
      <c r="R12" s="3">
        <v>4.666666666666667</v>
      </c>
    </row>
    <row r="13" ht="22.5" customHeight="1">
      <c r="A13" s="20">
        <v>12.0</v>
      </c>
      <c r="B13" s="21" t="s">
        <v>26</v>
      </c>
      <c r="C13" s="5">
        <v>22.0</v>
      </c>
      <c r="D13" s="21" t="s">
        <v>33</v>
      </c>
      <c r="E13" s="21" t="s">
        <v>28</v>
      </c>
      <c r="F13" s="22" t="s">
        <v>34</v>
      </c>
      <c r="G13" s="3">
        <v>3.5</v>
      </c>
      <c r="H13" s="22" t="s">
        <v>39</v>
      </c>
      <c r="I13" s="5">
        <v>2.0</v>
      </c>
      <c r="J13" s="21" t="s">
        <v>37</v>
      </c>
      <c r="K13" s="3">
        <v>4.0</v>
      </c>
      <c r="L13" s="3">
        <v>4.0</v>
      </c>
      <c r="M13" s="15">
        <v>4.0</v>
      </c>
      <c r="N13" s="3">
        <v>3.5</v>
      </c>
      <c r="O13" s="3">
        <v>4.0</v>
      </c>
      <c r="P13" s="3">
        <v>3.5</v>
      </c>
      <c r="Q13" s="3">
        <v>1.6666666666666667</v>
      </c>
      <c r="R13" s="3">
        <v>4.0</v>
      </c>
    </row>
    <row r="14" ht="22.5" customHeight="1">
      <c r="A14" s="20">
        <v>13.0</v>
      </c>
      <c r="B14" s="21" t="s">
        <v>48</v>
      </c>
      <c r="C14" s="5">
        <v>25.0</v>
      </c>
      <c r="D14" s="21" t="s">
        <v>33</v>
      </c>
      <c r="E14" s="21" t="s">
        <v>54</v>
      </c>
      <c r="F14" s="22" t="s">
        <v>34</v>
      </c>
      <c r="G14" s="3">
        <v>3.5</v>
      </c>
      <c r="H14" s="22" t="s">
        <v>41</v>
      </c>
      <c r="I14" s="5">
        <v>8.0</v>
      </c>
      <c r="J14" s="21" t="s">
        <v>37</v>
      </c>
      <c r="K14" s="3">
        <v>4.5</v>
      </c>
      <c r="L14" s="3">
        <v>4.5</v>
      </c>
      <c r="M14" s="15">
        <v>4.5</v>
      </c>
      <c r="N14" s="3">
        <v>4.5</v>
      </c>
      <c r="O14" s="3">
        <v>5.0</v>
      </c>
      <c r="P14" s="3">
        <v>3.5</v>
      </c>
      <c r="Q14" s="3">
        <v>3.3333333333333335</v>
      </c>
      <c r="R14" s="3">
        <v>4.333333333333333</v>
      </c>
    </row>
    <row r="15" ht="22.5" customHeight="1">
      <c r="A15" s="20">
        <v>14.0</v>
      </c>
      <c r="B15" s="21" t="s">
        <v>26</v>
      </c>
      <c r="C15" s="5">
        <v>22.0</v>
      </c>
      <c r="D15" s="21" t="s">
        <v>27</v>
      </c>
      <c r="E15" s="21" t="s">
        <v>55</v>
      </c>
      <c r="F15" s="22" t="s">
        <v>52</v>
      </c>
      <c r="G15" s="3">
        <v>5.5</v>
      </c>
      <c r="H15" s="21" t="s">
        <v>96</v>
      </c>
      <c r="I15" s="5">
        <v>11.0</v>
      </c>
      <c r="J15" s="21" t="s">
        <v>32</v>
      </c>
      <c r="K15" s="3">
        <v>4.0</v>
      </c>
      <c r="L15" s="3">
        <v>3.0</v>
      </c>
      <c r="M15" s="15">
        <v>4.0</v>
      </c>
      <c r="N15" s="3">
        <v>4.0</v>
      </c>
      <c r="O15" s="3">
        <v>5.0</v>
      </c>
      <c r="P15" s="3">
        <v>3.0</v>
      </c>
      <c r="Q15" s="3">
        <v>2.3333333333333335</v>
      </c>
      <c r="R15" s="3">
        <v>4.0</v>
      </c>
    </row>
    <row r="16" ht="22.5" customHeight="1">
      <c r="A16" s="20">
        <v>15.0</v>
      </c>
      <c r="B16" s="21" t="s">
        <v>26</v>
      </c>
      <c r="C16" s="5">
        <v>22.0</v>
      </c>
      <c r="D16" s="21" t="s">
        <v>27</v>
      </c>
      <c r="E16" s="21" t="s">
        <v>28</v>
      </c>
      <c r="F16" s="22" t="s">
        <v>34</v>
      </c>
      <c r="G16" s="3">
        <v>3.5</v>
      </c>
      <c r="H16" s="22" t="s">
        <v>35</v>
      </c>
      <c r="I16" s="5">
        <v>5.0</v>
      </c>
      <c r="J16" s="21" t="s">
        <v>32</v>
      </c>
      <c r="K16" s="3">
        <v>4.5</v>
      </c>
      <c r="L16" s="3">
        <v>4.0</v>
      </c>
      <c r="M16" s="15">
        <v>4.5</v>
      </c>
      <c r="N16" s="3">
        <v>4.5</v>
      </c>
      <c r="O16" s="3">
        <v>5.0</v>
      </c>
      <c r="P16" s="3">
        <v>3.0</v>
      </c>
      <c r="Q16" s="3">
        <v>3.0</v>
      </c>
      <c r="R16" s="3">
        <v>4.333333333333333</v>
      </c>
    </row>
    <row r="17" ht="22.5" customHeight="1">
      <c r="A17" s="20">
        <v>16.0</v>
      </c>
      <c r="B17" s="21" t="s">
        <v>26</v>
      </c>
      <c r="C17" s="5">
        <v>22.0</v>
      </c>
      <c r="D17" s="21" t="s">
        <v>27</v>
      </c>
      <c r="E17" s="21" t="s">
        <v>55</v>
      </c>
      <c r="F17" s="22" t="s">
        <v>34</v>
      </c>
      <c r="G17" s="3">
        <v>3.5</v>
      </c>
      <c r="H17" s="22" t="s">
        <v>35</v>
      </c>
      <c r="I17" s="5">
        <v>5.0</v>
      </c>
      <c r="J17" s="21" t="s">
        <v>37</v>
      </c>
      <c r="K17" s="3">
        <v>3.5</v>
      </c>
      <c r="L17" s="3">
        <v>3.5</v>
      </c>
      <c r="M17" s="15">
        <v>4.0</v>
      </c>
      <c r="N17" s="3">
        <v>3.0</v>
      </c>
      <c r="O17" s="3">
        <v>5.0</v>
      </c>
      <c r="P17" s="3">
        <v>3.0</v>
      </c>
      <c r="Q17" s="3">
        <v>3.0</v>
      </c>
      <c r="R17" s="3">
        <v>4.333333333333333</v>
      </c>
    </row>
    <row r="18" ht="22.5" customHeight="1">
      <c r="A18" s="20">
        <v>17.0</v>
      </c>
      <c r="B18" s="21" t="s">
        <v>59</v>
      </c>
      <c r="C18" s="5">
        <v>29.0</v>
      </c>
      <c r="D18" s="21" t="s">
        <v>33</v>
      </c>
      <c r="E18" s="21" t="s">
        <v>28</v>
      </c>
      <c r="F18" s="22" t="s">
        <v>34</v>
      </c>
      <c r="G18" s="3">
        <v>3.5</v>
      </c>
      <c r="H18" s="22" t="s">
        <v>39</v>
      </c>
      <c r="I18" s="5">
        <v>2.0</v>
      </c>
      <c r="J18" s="21" t="s">
        <v>37</v>
      </c>
      <c r="K18" s="3">
        <v>4.0</v>
      </c>
      <c r="L18" s="3">
        <v>4.0</v>
      </c>
      <c r="M18" s="15">
        <v>4.0</v>
      </c>
      <c r="N18" s="3">
        <v>5.0</v>
      </c>
      <c r="O18" s="3">
        <v>3.5</v>
      </c>
      <c r="P18" s="3">
        <v>3.0</v>
      </c>
      <c r="Q18" s="3">
        <v>3.0</v>
      </c>
      <c r="R18" s="3">
        <v>3.0</v>
      </c>
    </row>
    <row r="19" ht="22.5" customHeight="1">
      <c r="A19" s="20">
        <v>18.0</v>
      </c>
      <c r="B19" s="21" t="s">
        <v>48</v>
      </c>
      <c r="C19" s="5">
        <v>25.0</v>
      </c>
      <c r="D19" s="21" t="s">
        <v>33</v>
      </c>
      <c r="E19" s="21" t="s">
        <v>61</v>
      </c>
      <c r="F19" s="22" t="s">
        <v>45</v>
      </c>
      <c r="G19" s="3">
        <v>1.5</v>
      </c>
      <c r="H19" s="22" t="s">
        <v>39</v>
      </c>
      <c r="I19" s="5">
        <v>2.0</v>
      </c>
      <c r="J19" s="21" t="s">
        <v>37</v>
      </c>
      <c r="K19" s="3">
        <v>5.0</v>
      </c>
      <c r="L19" s="3">
        <v>4.0</v>
      </c>
      <c r="M19" s="15">
        <v>4.0</v>
      </c>
      <c r="N19" s="3">
        <v>5.0</v>
      </c>
      <c r="O19" s="3">
        <v>4.0</v>
      </c>
      <c r="P19" s="3">
        <v>4.0</v>
      </c>
      <c r="Q19" s="3">
        <v>4.0</v>
      </c>
      <c r="R19" s="3">
        <v>4.666666666666667</v>
      </c>
    </row>
    <row r="20" ht="22.5" customHeight="1">
      <c r="A20" s="20">
        <v>19.0</v>
      </c>
      <c r="B20" s="21" t="s">
        <v>48</v>
      </c>
      <c r="C20" s="5">
        <v>25.0</v>
      </c>
      <c r="D20" s="21" t="s">
        <v>27</v>
      </c>
      <c r="E20" s="21" t="s">
        <v>28</v>
      </c>
      <c r="F20" s="22" t="s">
        <v>34</v>
      </c>
      <c r="G20" s="3">
        <v>3.5</v>
      </c>
      <c r="H20" s="22" t="s">
        <v>35</v>
      </c>
      <c r="I20" s="5">
        <v>5.0</v>
      </c>
      <c r="J20" s="21" t="s">
        <v>32</v>
      </c>
      <c r="K20" s="3">
        <v>4.5</v>
      </c>
      <c r="L20" s="3">
        <v>5.0</v>
      </c>
      <c r="M20" s="15">
        <v>5.0</v>
      </c>
      <c r="N20" s="3">
        <v>5.0</v>
      </c>
      <c r="O20" s="3">
        <v>4.0</v>
      </c>
      <c r="P20" s="3">
        <v>4.5</v>
      </c>
      <c r="Q20" s="3">
        <v>4.0</v>
      </c>
      <c r="R20" s="3">
        <v>4.333333333333333</v>
      </c>
    </row>
    <row r="21" ht="22.5" customHeight="1">
      <c r="A21" s="20">
        <v>20.0</v>
      </c>
      <c r="B21" s="21" t="s">
        <v>48</v>
      </c>
      <c r="C21" s="5">
        <v>25.0</v>
      </c>
      <c r="D21" s="21" t="s">
        <v>27</v>
      </c>
      <c r="E21" s="21" t="s">
        <v>28</v>
      </c>
      <c r="F21" s="22" t="s">
        <v>34</v>
      </c>
      <c r="G21" s="3">
        <v>3.5</v>
      </c>
      <c r="H21" s="22" t="s">
        <v>35</v>
      </c>
      <c r="I21" s="5">
        <v>5.0</v>
      </c>
      <c r="J21" s="21" t="s">
        <v>32</v>
      </c>
      <c r="K21" s="3">
        <v>4.5</v>
      </c>
      <c r="L21" s="3">
        <v>3.5</v>
      </c>
      <c r="M21" s="15">
        <v>4.0</v>
      </c>
      <c r="N21" s="3">
        <v>4.5</v>
      </c>
      <c r="O21" s="3">
        <v>4.0</v>
      </c>
      <c r="P21" s="3">
        <v>3.5</v>
      </c>
      <c r="Q21" s="3">
        <v>1.6666666666666667</v>
      </c>
      <c r="R21" s="3">
        <v>3.3333333333333335</v>
      </c>
    </row>
    <row r="22" ht="22.5" customHeight="1">
      <c r="A22" s="20">
        <v>21.0</v>
      </c>
      <c r="B22" s="21" t="s">
        <v>26</v>
      </c>
      <c r="C22" s="5">
        <v>22.0</v>
      </c>
      <c r="D22" s="21" t="s">
        <v>33</v>
      </c>
      <c r="E22" s="21" t="s">
        <v>64</v>
      </c>
      <c r="F22" s="22" t="s">
        <v>34</v>
      </c>
      <c r="G22" s="3">
        <v>3.5</v>
      </c>
      <c r="H22" s="22" t="s">
        <v>35</v>
      </c>
      <c r="I22" s="5">
        <v>5.0</v>
      </c>
      <c r="J22" s="21" t="s">
        <v>32</v>
      </c>
      <c r="K22" s="3">
        <v>5.0</v>
      </c>
      <c r="L22" s="3">
        <v>5.0</v>
      </c>
      <c r="M22" s="15">
        <v>5.0</v>
      </c>
      <c r="N22" s="3">
        <v>4.5</v>
      </c>
      <c r="O22" s="3">
        <v>5.0</v>
      </c>
      <c r="P22" s="3">
        <v>4.5</v>
      </c>
      <c r="Q22" s="3">
        <v>5.0</v>
      </c>
      <c r="R22" s="3">
        <v>4.666666666666667</v>
      </c>
    </row>
    <row r="23" ht="22.5" customHeight="1">
      <c r="A23" s="20">
        <v>22.0</v>
      </c>
      <c r="B23" s="21" t="s">
        <v>48</v>
      </c>
      <c r="C23" s="5">
        <v>25.0</v>
      </c>
      <c r="D23" s="21" t="s">
        <v>33</v>
      </c>
      <c r="E23" s="21" t="s">
        <v>28</v>
      </c>
      <c r="F23" s="22" t="s">
        <v>34</v>
      </c>
      <c r="G23" s="3">
        <v>3.5</v>
      </c>
      <c r="H23" s="22" t="s">
        <v>35</v>
      </c>
      <c r="I23" s="5">
        <v>5.0</v>
      </c>
      <c r="J23" s="21" t="s">
        <v>37</v>
      </c>
      <c r="K23" s="3">
        <v>3.0</v>
      </c>
      <c r="L23" s="3">
        <v>2.0</v>
      </c>
      <c r="M23" s="15">
        <v>4.0</v>
      </c>
      <c r="N23" s="3">
        <v>2.0</v>
      </c>
      <c r="O23" s="3">
        <v>4.0</v>
      </c>
      <c r="P23" s="3">
        <v>2.5</v>
      </c>
      <c r="Q23" s="3">
        <v>2.6666666666666665</v>
      </c>
      <c r="R23" s="3">
        <v>3.6666666666666665</v>
      </c>
    </row>
    <row r="24" ht="22.5" customHeight="1">
      <c r="A24" s="20">
        <v>23.0</v>
      </c>
      <c r="B24" s="21" t="s">
        <v>65</v>
      </c>
      <c r="C24" s="5">
        <v>19.0</v>
      </c>
      <c r="D24" s="21" t="s">
        <v>33</v>
      </c>
      <c r="E24" s="21" t="s">
        <v>28</v>
      </c>
      <c r="F24" s="21" t="s">
        <v>29</v>
      </c>
      <c r="G24" s="3">
        <v>7.0</v>
      </c>
      <c r="H24" s="21" t="s">
        <v>96</v>
      </c>
      <c r="I24" s="5">
        <v>11.0</v>
      </c>
      <c r="J24" s="21" t="s">
        <v>32</v>
      </c>
      <c r="K24" s="3">
        <v>3.5</v>
      </c>
      <c r="L24" s="3">
        <v>2.5</v>
      </c>
      <c r="M24" s="15">
        <v>4.5</v>
      </c>
      <c r="N24" s="3">
        <v>3.5</v>
      </c>
      <c r="O24" s="3">
        <v>4.5</v>
      </c>
      <c r="P24" s="3">
        <v>3.0</v>
      </c>
      <c r="Q24" s="3">
        <v>3.0</v>
      </c>
      <c r="R24" s="3">
        <v>4.666666666666667</v>
      </c>
    </row>
    <row r="25" ht="22.5" customHeight="1">
      <c r="A25" s="20">
        <v>24.0</v>
      </c>
      <c r="B25" s="21" t="s">
        <v>65</v>
      </c>
      <c r="C25" s="5">
        <v>19.0</v>
      </c>
      <c r="D25" s="21" t="s">
        <v>27</v>
      </c>
      <c r="E25" s="21" t="s">
        <v>28</v>
      </c>
      <c r="F25" s="22" t="s">
        <v>34</v>
      </c>
      <c r="G25" s="3">
        <v>3.5</v>
      </c>
      <c r="H25" s="22" t="s">
        <v>41</v>
      </c>
      <c r="I25" s="5">
        <v>8.0</v>
      </c>
      <c r="J25" s="21" t="s">
        <v>32</v>
      </c>
      <c r="K25" s="3">
        <v>5.0</v>
      </c>
      <c r="L25" s="3">
        <v>5.0</v>
      </c>
      <c r="M25" s="15">
        <v>5.0</v>
      </c>
      <c r="N25" s="3">
        <v>5.0</v>
      </c>
      <c r="O25" s="3">
        <v>5.0</v>
      </c>
      <c r="P25" s="3">
        <v>4.0</v>
      </c>
      <c r="Q25" s="3">
        <v>3.3333333333333335</v>
      </c>
      <c r="R25" s="3">
        <v>4.0</v>
      </c>
    </row>
    <row r="26" ht="22.5" customHeight="1">
      <c r="A26" s="20">
        <v>25.0</v>
      </c>
      <c r="B26" s="21" t="s">
        <v>26</v>
      </c>
      <c r="C26" s="5">
        <v>22.0</v>
      </c>
      <c r="D26" s="21" t="s">
        <v>27</v>
      </c>
      <c r="E26" s="21" t="s">
        <v>28</v>
      </c>
      <c r="F26" s="22" t="s">
        <v>34</v>
      </c>
      <c r="G26" s="3">
        <v>3.5</v>
      </c>
      <c r="H26" s="22" t="s">
        <v>35</v>
      </c>
      <c r="I26" s="5">
        <v>5.0</v>
      </c>
      <c r="J26" s="21" t="s">
        <v>37</v>
      </c>
      <c r="K26" s="3">
        <v>4.5</v>
      </c>
      <c r="L26" s="3">
        <v>3.5</v>
      </c>
      <c r="M26" s="15">
        <v>4.5</v>
      </c>
      <c r="N26" s="3">
        <v>4.5</v>
      </c>
      <c r="O26" s="3">
        <v>5.0</v>
      </c>
      <c r="P26" s="3">
        <v>3.0</v>
      </c>
      <c r="Q26" s="3">
        <v>3.6666666666666665</v>
      </c>
      <c r="R26" s="3">
        <v>5.0</v>
      </c>
    </row>
    <row r="27" ht="22.5" customHeight="1">
      <c r="A27" s="20">
        <v>26.0</v>
      </c>
      <c r="B27" s="21" t="s">
        <v>26</v>
      </c>
      <c r="C27" s="5">
        <v>22.0</v>
      </c>
      <c r="D27" s="21" t="s">
        <v>27</v>
      </c>
      <c r="E27" s="21" t="s">
        <v>64</v>
      </c>
      <c r="F27" s="22" t="s">
        <v>45</v>
      </c>
      <c r="G27" s="3">
        <v>1.5</v>
      </c>
      <c r="H27" s="22" t="s">
        <v>39</v>
      </c>
      <c r="I27" s="5">
        <v>2.0</v>
      </c>
      <c r="J27" s="21" t="s">
        <v>37</v>
      </c>
      <c r="K27" s="3">
        <v>3.0</v>
      </c>
      <c r="L27" s="3">
        <v>3.5</v>
      </c>
      <c r="M27" s="15">
        <v>4.5</v>
      </c>
      <c r="N27" s="3">
        <v>4.0</v>
      </c>
      <c r="O27" s="3">
        <v>4.5</v>
      </c>
      <c r="P27" s="3">
        <v>3.0</v>
      </c>
      <c r="Q27" s="3">
        <v>1.3333333333333333</v>
      </c>
      <c r="R27" s="3">
        <v>3.3333333333333335</v>
      </c>
    </row>
    <row r="28" ht="22.5" customHeight="1">
      <c r="A28" s="20">
        <v>27.0</v>
      </c>
      <c r="B28" s="21" t="s">
        <v>65</v>
      </c>
      <c r="C28" s="5">
        <v>19.0</v>
      </c>
      <c r="D28" s="21" t="s">
        <v>27</v>
      </c>
      <c r="E28" s="21" t="s">
        <v>28</v>
      </c>
      <c r="F28" s="22" t="s">
        <v>52</v>
      </c>
      <c r="G28" s="3">
        <v>5.5</v>
      </c>
      <c r="H28" s="22" t="s">
        <v>39</v>
      </c>
      <c r="I28" s="5">
        <v>2.0</v>
      </c>
      <c r="J28" s="21" t="s">
        <v>32</v>
      </c>
      <c r="K28" s="3">
        <v>3.5</v>
      </c>
      <c r="L28" s="3">
        <v>3.0</v>
      </c>
      <c r="M28" s="15">
        <v>4.0</v>
      </c>
      <c r="N28" s="3">
        <v>4.0</v>
      </c>
      <c r="O28" s="3">
        <v>4.0</v>
      </c>
      <c r="P28" s="3">
        <v>4.0</v>
      </c>
      <c r="Q28" s="3">
        <v>3.0</v>
      </c>
      <c r="R28" s="3">
        <v>3.6666666666666665</v>
      </c>
    </row>
    <row r="29" ht="22.5" customHeight="1">
      <c r="A29" s="20">
        <v>28.0</v>
      </c>
      <c r="B29" s="21" t="s">
        <v>26</v>
      </c>
      <c r="C29" s="5">
        <v>22.0</v>
      </c>
      <c r="D29" s="21" t="s">
        <v>27</v>
      </c>
      <c r="E29" s="21" t="s">
        <v>28</v>
      </c>
      <c r="F29" s="22" t="s">
        <v>45</v>
      </c>
      <c r="G29" s="3">
        <v>1.5</v>
      </c>
      <c r="H29" s="22" t="s">
        <v>35</v>
      </c>
      <c r="I29" s="5">
        <v>5.0</v>
      </c>
      <c r="J29" s="21" t="s">
        <v>32</v>
      </c>
      <c r="K29" s="3">
        <v>4.0</v>
      </c>
      <c r="L29" s="3">
        <v>2.5</v>
      </c>
      <c r="M29" s="15">
        <v>5.0</v>
      </c>
      <c r="N29" s="3">
        <v>4.5</v>
      </c>
      <c r="O29" s="3">
        <v>5.0</v>
      </c>
      <c r="P29" s="3">
        <v>4.0</v>
      </c>
      <c r="Q29" s="3">
        <v>2.3333333333333335</v>
      </c>
      <c r="R29" s="3">
        <v>4.333333333333333</v>
      </c>
    </row>
    <row r="30" ht="22.5" customHeight="1">
      <c r="A30" s="20">
        <v>29.0</v>
      </c>
      <c r="B30" s="21" t="s">
        <v>26</v>
      </c>
      <c r="C30" s="5">
        <v>22.0</v>
      </c>
      <c r="D30" s="21" t="s">
        <v>27</v>
      </c>
      <c r="E30" s="21" t="s">
        <v>28</v>
      </c>
      <c r="F30" s="22" t="s">
        <v>45</v>
      </c>
      <c r="G30" s="3">
        <v>1.5</v>
      </c>
      <c r="H30" s="22" t="s">
        <v>35</v>
      </c>
      <c r="I30" s="5">
        <v>5.0</v>
      </c>
      <c r="J30" s="21" t="s">
        <v>37</v>
      </c>
      <c r="K30" s="3">
        <v>5.0</v>
      </c>
      <c r="L30" s="3">
        <v>4.0</v>
      </c>
      <c r="M30" s="15">
        <v>4.5</v>
      </c>
      <c r="N30" s="3">
        <v>5.0</v>
      </c>
      <c r="O30" s="3">
        <v>5.0</v>
      </c>
      <c r="P30" s="3">
        <v>3.5</v>
      </c>
      <c r="Q30" s="3">
        <v>3.0</v>
      </c>
      <c r="R30" s="3">
        <v>4.333333333333333</v>
      </c>
    </row>
    <row r="31" ht="22.5" customHeight="1">
      <c r="A31" s="20">
        <v>30.0</v>
      </c>
      <c r="B31" s="21" t="s">
        <v>48</v>
      </c>
      <c r="C31" s="5">
        <v>25.0</v>
      </c>
      <c r="D31" s="21" t="s">
        <v>27</v>
      </c>
      <c r="E31" s="21" t="s">
        <v>28</v>
      </c>
      <c r="F31" s="22" t="s">
        <v>34</v>
      </c>
      <c r="G31" s="3">
        <v>3.5</v>
      </c>
      <c r="H31" s="22" t="s">
        <v>35</v>
      </c>
      <c r="I31" s="5">
        <v>5.0</v>
      </c>
      <c r="J31" s="21" t="s">
        <v>37</v>
      </c>
      <c r="K31" s="3">
        <v>3.5</v>
      </c>
      <c r="L31" s="3">
        <v>3.0</v>
      </c>
      <c r="M31" s="15">
        <v>4.5</v>
      </c>
      <c r="N31" s="3">
        <v>4.0</v>
      </c>
      <c r="O31" s="3">
        <v>4.5</v>
      </c>
      <c r="P31" s="3">
        <v>2.5</v>
      </c>
      <c r="Q31" s="3">
        <v>3.0</v>
      </c>
      <c r="R31" s="3">
        <v>4.0</v>
      </c>
    </row>
    <row r="32" ht="22.5" customHeight="1">
      <c r="A32" s="20">
        <v>31.0</v>
      </c>
      <c r="B32" s="21" t="s">
        <v>65</v>
      </c>
      <c r="C32" s="5">
        <v>19.0</v>
      </c>
      <c r="D32" s="21" t="s">
        <v>33</v>
      </c>
      <c r="E32" s="21" t="s">
        <v>64</v>
      </c>
      <c r="F32" s="22" t="s">
        <v>45</v>
      </c>
      <c r="G32" s="3">
        <v>1.5</v>
      </c>
      <c r="H32" s="22" t="s">
        <v>39</v>
      </c>
      <c r="I32" s="5">
        <v>2.0</v>
      </c>
      <c r="J32" s="21" t="s">
        <v>70</v>
      </c>
      <c r="K32" s="3">
        <v>3.5</v>
      </c>
      <c r="L32" s="3">
        <v>4.0</v>
      </c>
      <c r="M32" s="15">
        <v>3.5</v>
      </c>
      <c r="N32" s="3">
        <v>4.0</v>
      </c>
      <c r="O32" s="3">
        <v>3.5</v>
      </c>
      <c r="P32" s="3">
        <v>3.5</v>
      </c>
      <c r="Q32" s="3">
        <v>1.0</v>
      </c>
      <c r="R32" s="3">
        <v>3.0</v>
      </c>
    </row>
    <row r="33" ht="22.5" customHeight="1">
      <c r="A33" s="20">
        <v>32.0</v>
      </c>
      <c r="B33" s="21" t="s">
        <v>26</v>
      </c>
      <c r="C33" s="5">
        <v>22.0</v>
      </c>
      <c r="D33" s="21" t="s">
        <v>27</v>
      </c>
      <c r="E33" s="21" t="s">
        <v>28</v>
      </c>
      <c r="F33" s="22" t="s">
        <v>45</v>
      </c>
      <c r="G33" s="3">
        <v>1.5</v>
      </c>
      <c r="H33" s="22" t="s">
        <v>35</v>
      </c>
      <c r="I33" s="5">
        <v>5.0</v>
      </c>
      <c r="J33" s="21" t="s">
        <v>37</v>
      </c>
      <c r="K33" s="3">
        <v>3.5</v>
      </c>
      <c r="L33" s="3">
        <v>3.0</v>
      </c>
      <c r="M33" s="15">
        <v>4.0</v>
      </c>
      <c r="N33" s="3">
        <v>5.0</v>
      </c>
      <c r="O33" s="3">
        <v>4.5</v>
      </c>
      <c r="P33" s="3">
        <v>3.5</v>
      </c>
      <c r="Q33" s="3">
        <v>1.3333333333333333</v>
      </c>
      <c r="R33" s="3">
        <v>3.6666666666666665</v>
      </c>
    </row>
    <row r="34" ht="22.5" customHeight="1">
      <c r="A34" s="20">
        <v>33.0</v>
      </c>
      <c r="B34" s="21" t="s">
        <v>48</v>
      </c>
      <c r="C34" s="5">
        <v>25.0</v>
      </c>
      <c r="D34" s="21" t="s">
        <v>27</v>
      </c>
      <c r="E34" s="21" t="s">
        <v>28</v>
      </c>
      <c r="F34" s="22" t="s">
        <v>45</v>
      </c>
      <c r="G34" s="3">
        <v>1.5</v>
      </c>
      <c r="H34" s="22" t="s">
        <v>39</v>
      </c>
      <c r="I34" s="5">
        <v>2.0</v>
      </c>
      <c r="J34" s="21" t="s">
        <v>37</v>
      </c>
      <c r="K34" s="3">
        <v>4.0</v>
      </c>
      <c r="L34" s="3">
        <v>3.5</v>
      </c>
      <c r="M34" s="15">
        <v>4.5</v>
      </c>
      <c r="N34" s="3">
        <v>5.0</v>
      </c>
      <c r="O34" s="3">
        <v>5.0</v>
      </c>
      <c r="P34" s="3">
        <v>2.5</v>
      </c>
      <c r="Q34" s="3">
        <v>2.6666666666666665</v>
      </c>
      <c r="R34" s="3">
        <v>3.6666666666666665</v>
      </c>
    </row>
    <row r="35" ht="22.5" customHeight="1">
      <c r="A35" s="20">
        <v>34.0</v>
      </c>
      <c r="B35" s="21" t="s">
        <v>48</v>
      </c>
      <c r="C35" s="5">
        <v>25.0</v>
      </c>
      <c r="D35" s="21" t="s">
        <v>27</v>
      </c>
      <c r="E35" s="21" t="s">
        <v>28</v>
      </c>
      <c r="F35" s="22" t="s">
        <v>45</v>
      </c>
      <c r="G35" s="3">
        <v>1.5</v>
      </c>
      <c r="H35" s="22" t="s">
        <v>39</v>
      </c>
      <c r="I35" s="5">
        <v>2.0</v>
      </c>
      <c r="J35" s="21" t="s">
        <v>37</v>
      </c>
      <c r="K35" s="3">
        <v>2.0</v>
      </c>
      <c r="L35" s="3">
        <v>1.5</v>
      </c>
      <c r="M35" s="15">
        <v>4.5</v>
      </c>
      <c r="N35" s="3">
        <v>2.5</v>
      </c>
      <c r="O35" s="3">
        <v>4.5</v>
      </c>
      <c r="P35" s="3">
        <v>2.0</v>
      </c>
      <c r="Q35" s="3">
        <v>2.0</v>
      </c>
      <c r="R35" s="3">
        <v>4.0</v>
      </c>
    </row>
    <row r="36" ht="22.5" customHeight="1">
      <c r="A36" s="20">
        <v>35.0</v>
      </c>
      <c r="B36" s="21" t="s">
        <v>26</v>
      </c>
      <c r="C36" s="5">
        <v>22.0</v>
      </c>
      <c r="D36" s="21" t="s">
        <v>27</v>
      </c>
      <c r="E36" s="21" t="s">
        <v>72</v>
      </c>
      <c r="F36" s="22" t="s">
        <v>45</v>
      </c>
      <c r="G36" s="3">
        <v>1.5</v>
      </c>
      <c r="H36" s="22" t="s">
        <v>39</v>
      </c>
      <c r="I36" s="5">
        <v>2.0</v>
      </c>
      <c r="J36" s="21" t="s">
        <v>37</v>
      </c>
      <c r="K36" s="3">
        <v>4.0</v>
      </c>
      <c r="L36" s="3">
        <v>3.0</v>
      </c>
      <c r="M36" s="15">
        <v>4.5</v>
      </c>
      <c r="N36" s="3">
        <v>4.5</v>
      </c>
      <c r="O36" s="3">
        <v>4.0</v>
      </c>
      <c r="P36" s="3">
        <v>3.0</v>
      </c>
      <c r="Q36" s="3">
        <v>1.0</v>
      </c>
      <c r="R36" s="3">
        <v>4.0</v>
      </c>
    </row>
    <row r="37" ht="22.5" customHeight="1">
      <c r="A37" s="20">
        <v>36.0</v>
      </c>
      <c r="B37" s="21" t="s">
        <v>59</v>
      </c>
      <c r="C37" s="5">
        <v>29.0</v>
      </c>
      <c r="D37" s="21" t="s">
        <v>27</v>
      </c>
      <c r="E37" s="21" t="s">
        <v>44</v>
      </c>
      <c r="F37" s="22" t="s">
        <v>34</v>
      </c>
      <c r="G37" s="3">
        <v>3.5</v>
      </c>
      <c r="H37" s="22" t="s">
        <v>41</v>
      </c>
      <c r="I37" s="5">
        <v>8.0</v>
      </c>
      <c r="J37" s="21" t="s">
        <v>37</v>
      </c>
      <c r="K37" s="3">
        <v>5.0</v>
      </c>
      <c r="L37" s="3">
        <v>4.0</v>
      </c>
      <c r="M37" s="15">
        <v>4.5</v>
      </c>
      <c r="N37" s="3">
        <v>5.0</v>
      </c>
      <c r="O37" s="3">
        <v>4.5</v>
      </c>
      <c r="P37" s="3">
        <v>3.5</v>
      </c>
      <c r="Q37" s="3">
        <v>3.3333333333333335</v>
      </c>
      <c r="R37" s="3">
        <v>4.333333333333333</v>
      </c>
    </row>
    <row r="38" ht="22.5" customHeight="1">
      <c r="A38" s="20">
        <v>37.0</v>
      </c>
      <c r="B38" s="21" t="s">
        <v>48</v>
      </c>
      <c r="C38" s="5">
        <v>25.0</v>
      </c>
      <c r="D38" s="21" t="s">
        <v>27</v>
      </c>
      <c r="E38" s="21" t="s">
        <v>28</v>
      </c>
      <c r="F38" s="22" t="s">
        <v>34</v>
      </c>
      <c r="G38" s="3">
        <v>3.5</v>
      </c>
      <c r="H38" s="22" t="s">
        <v>35</v>
      </c>
      <c r="I38" s="5">
        <v>5.0</v>
      </c>
      <c r="J38" s="21" t="s">
        <v>70</v>
      </c>
      <c r="K38" s="3">
        <v>3.0</v>
      </c>
      <c r="L38" s="3">
        <v>3.0</v>
      </c>
      <c r="M38" s="15">
        <v>3.5</v>
      </c>
      <c r="N38" s="3">
        <v>4.0</v>
      </c>
      <c r="O38" s="3">
        <v>4.5</v>
      </c>
      <c r="P38" s="3">
        <v>3.0</v>
      </c>
      <c r="Q38" s="3">
        <v>3.0</v>
      </c>
      <c r="R38" s="3">
        <v>3.0</v>
      </c>
    </row>
    <row r="39" ht="22.5" customHeight="1">
      <c r="A39" s="20">
        <v>38.0</v>
      </c>
      <c r="B39" s="21" t="s">
        <v>65</v>
      </c>
      <c r="C39" s="5">
        <v>19.0</v>
      </c>
      <c r="D39" s="21" t="s">
        <v>27</v>
      </c>
      <c r="E39" s="21" t="s">
        <v>28</v>
      </c>
      <c r="F39" s="22" t="s">
        <v>52</v>
      </c>
      <c r="G39" s="3">
        <v>5.5</v>
      </c>
      <c r="H39" s="22" t="s">
        <v>39</v>
      </c>
      <c r="I39" s="5">
        <v>2.0</v>
      </c>
      <c r="J39" s="21" t="s">
        <v>32</v>
      </c>
      <c r="K39" s="3">
        <v>3.5</v>
      </c>
      <c r="L39" s="3">
        <v>3.0</v>
      </c>
      <c r="M39" s="15">
        <v>4.5</v>
      </c>
      <c r="N39" s="3">
        <v>3.0</v>
      </c>
      <c r="O39" s="3">
        <v>5.0</v>
      </c>
      <c r="P39" s="3">
        <v>3.5</v>
      </c>
      <c r="Q39" s="3">
        <v>2.0</v>
      </c>
      <c r="R39" s="3">
        <v>4.666666666666667</v>
      </c>
    </row>
    <row r="40" ht="22.5" customHeight="1">
      <c r="A40" s="20">
        <v>39.0</v>
      </c>
      <c r="B40" s="21" t="s">
        <v>26</v>
      </c>
      <c r="C40" s="5">
        <v>22.0</v>
      </c>
      <c r="D40" s="21" t="s">
        <v>27</v>
      </c>
      <c r="E40" s="21" t="s">
        <v>76</v>
      </c>
      <c r="F40" s="22" t="s">
        <v>52</v>
      </c>
      <c r="G40" s="3">
        <v>5.5</v>
      </c>
      <c r="H40" s="21" t="s">
        <v>96</v>
      </c>
      <c r="I40" s="5">
        <v>11.0</v>
      </c>
      <c r="J40" s="21" t="s">
        <v>37</v>
      </c>
      <c r="K40" s="3">
        <v>3.5</v>
      </c>
      <c r="L40" s="3">
        <v>3.5</v>
      </c>
      <c r="M40" s="15">
        <v>4.0</v>
      </c>
      <c r="N40" s="3">
        <v>3.5</v>
      </c>
      <c r="O40" s="3">
        <v>5.0</v>
      </c>
      <c r="P40" s="3">
        <v>4.0</v>
      </c>
      <c r="Q40" s="3">
        <v>2.3333333333333335</v>
      </c>
      <c r="R40" s="3">
        <v>4.333333333333333</v>
      </c>
    </row>
    <row r="41" ht="22.5" customHeight="1">
      <c r="A41" s="20">
        <v>40.0</v>
      </c>
      <c r="B41" s="21" t="s">
        <v>26</v>
      </c>
      <c r="C41" s="5">
        <v>22.0</v>
      </c>
      <c r="D41" s="21" t="s">
        <v>33</v>
      </c>
      <c r="E41" s="21" t="s">
        <v>38</v>
      </c>
      <c r="F41" s="21" t="s">
        <v>29</v>
      </c>
      <c r="G41" s="3">
        <v>7.0</v>
      </c>
      <c r="H41" s="21" t="s">
        <v>96</v>
      </c>
      <c r="I41" s="5">
        <v>11.0</v>
      </c>
      <c r="J41" s="21" t="s">
        <v>37</v>
      </c>
      <c r="K41" s="3">
        <v>3.5</v>
      </c>
      <c r="L41" s="3">
        <v>4.5</v>
      </c>
      <c r="M41" s="15">
        <v>5.0</v>
      </c>
      <c r="N41" s="3">
        <v>4.5</v>
      </c>
      <c r="O41" s="3">
        <v>5.0</v>
      </c>
      <c r="P41" s="3">
        <v>3.0</v>
      </c>
      <c r="Q41" s="3">
        <v>2.0</v>
      </c>
      <c r="R41" s="3">
        <v>5.0</v>
      </c>
    </row>
    <row r="42" ht="22.5" customHeight="1">
      <c r="A42" s="20">
        <v>41.0</v>
      </c>
      <c r="B42" s="21" t="s">
        <v>48</v>
      </c>
      <c r="C42" s="5">
        <v>25.0</v>
      </c>
      <c r="D42" s="21" t="s">
        <v>33</v>
      </c>
      <c r="E42" s="21" t="s">
        <v>28</v>
      </c>
      <c r="F42" s="22" t="s">
        <v>34</v>
      </c>
      <c r="G42" s="3">
        <v>3.5</v>
      </c>
      <c r="H42" s="22" t="s">
        <v>35</v>
      </c>
      <c r="I42" s="5">
        <v>5.0</v>
      </c>
      <c r="J42" s="21" t="s">
        <v>37</v>
      </c>
      <c r="K42" s="3">
        <v>3.5</v>
      </c>
      <c r="L42" s="3">
        <v>3.5</v>
      </c>
      <c r="M42" s="15">
        <v>4.5</v>
      </c>
      <c r="N42" s="3">
        <v>5.0</v>
      </c>
      <c r="O42" s="3">
        <v>5.0</v>
      </c>
      <c r="P42" s="3">
        <v>3.5</v>
      </c>
      <c r="Q42" s="3">
        <v>3.3333333333333335</v>
      </c>
      <c r="R42" s="3">
        <v>4.0</v>
      </c>
    </row>
    <row r="43" ht="22.5" customHeight="1">
      <c r="A43" s="20">
        <v>42.0</v>
      </c>
      <c r="B43" s="21" t="s">
        <v>26</v>
      </c>
      <c r="C43" s="5">
        <v>22.0</v>
      </c>
      <c r="D43" s="21" t="s">
        <v>33</v>
      </c>
      <c r="E43" s="21" t="s">
        <v>64</v>
      </c>
      <c r="F43" s="22" t="s">
        <v>34</v>
      </c>
      <c r="G43" s="3">
        <v>3.5</v>
      </c>
      <c r="H43" s="22" t="s">
        <v>35</v>
      </c>
      <c r="I43" s="5">
        <v>5.0</v>
      </c>
      <c r="J43" s="21" t="s">
        <v>37</v>
      </c>
      <c r="K43" s="3">
        <v>5.0</v>
      </c>
      <c r="L43" s="3">
        <v>5.0</v>
      </c>
      <c r="M43" s="15">
        <v>5.0</v>
      </c>
      <c r="N43" s="3">
        <v>4.5</v>
      </c>
      <c r="O43" s="3">
        <v>5.0</v>
      </c>
      <c r="P43" s="3">
        <v>3.5</v>
      </c>
      <c r="Q43" s="3">
        <v>2.6666666666666665</v>
      </c>
      <c r="R43" s="3">
        <v>4.333333333333333</v>
      </c>
    </row>
    <row r="44" ht="22.5" customHeight="1">
      <c r="A44" s="20">
        <v>43.0</v>
      </c>
      <c r="B44" s="21" t="s">
        <v>48</v>
      </c>
      <c r="C44" s="5">
        <v>25.0</v>
      </c>
      <c r="D44" s="21" t="s">
        <v>33</v>
      </c>
      <c r="E44" s="21" t="s">
        <v>44</v>
      </c>
      <c r="F44" s="22" t="s">
        <v>34</v>
      </c>
      <c r="G44" s="3">
        <v>3.5</v>
      </c>
      <c r="H44" s="22" t="s">
        <v>39</v>
      </c>
      <c r="I44" s="5">
        <v>2.0</v>
      </c>
      <c r="J44" s="21" t="s">
        <v>32</v>
      </c>
      <c r="K44" s="3">
        <v>5.0</v>
      </c>
      <c r="L44" s="3">
        <v>4.5</v>
      </c>
      <c r="M44" s="15">
        <v>3.0</v>
      </c>
      <c r="N44" s="3">
        <v>4.0</v>
      </c>
      <c r="O44" s="3">
        <v>3.5</v>
      </c>
      <c r="P44" s="3">
        <v>2.5</v>
      </c>
      <c r="Q44" s="3">
        <v>3.6666666666666665</v>
      </c>
      <c r="R44" s="3">
        <v>4.0</v>
      </c>
    </row>
    <row r="45" ht="22.5" customHeight="1">
      <c r="A45" s="20">
        <v>44.0</v>
      </c>
      <c r="B45" s="21" t="s">
        <v>48</v>
      </c>
      <c r="C45" s="5">
        <v>25.0</v>
      </c>
      <c r="D45" s="21" t="s">
        <v>27</v>
      </c>
      <c r="E45" s="21" t="s">
        <v>38</v>
      </c>
      <c r="F45" s="22" t="s">
        <v>52</v>
      </c>
      <c r="G45" s="3">
        <v>5.5</v>
      </c>
      <c r="H45" s="21" t="s">
        <v>96</v>
      </c>
      <c r="I45" s="5">
        <v>11.0</v>
      </c>
      <c r="J45" s="21" t="s">
        <v>32</v>
      </c>
      <c r="K45" s="3">
        <v>4.0</v>
      </c>
      <c r="L45" s="3">
        <v>3.0</v>
      </c>
      <c r="M45" s="15">
        <v>4.0</v>
      </c>
      <c r="N45" s="3">
        <v>4.0</v>
      </c>
      <c r="O45" s="3">
        <v>3.0</v>
      </c>
      <c r="P45" s="3">
        <v>3.0</v>
      </c>
      <c r="Q45" s="3">
        <v>2.0</v>
      </c>
      <c r="R45" s="3">
        <v>3.0</v>
      </c>
    </row>
    <row r="46" ht="22.5" customHeight="1">
      <c r="A46" s="20">
        <v>45.0</v>
      </c>
      <c r="B46" s="21" t="s">
        <v>26</v>
      </c>
      <c r="C46" s="5">
        <v>22.0</v>
      </c>
      <c r="D46" s="21" t="s">
        <v>33</v>
      </c>
      <c r="E46" s="21" t="s">
        <v>28</v>
      </c>
      <c r="F46" s="22" t="s">
        <v>52</v>
      </c>
      <c r="G46" s="3">
        <v>5.5</v>
      </c>
      <c r="H46" s="22" t="s">
        <v>41</v>
      </c>
      <c r="I46" s="5">
        <v>8.0</v>
      </c>
      <c r="J46" s="21" t="s">
        <v>37</v>
      </c>
      <c r="K46" s="3">
        <v>3.5</v>
      </c>
      <c r="L46" s="3">
        <v>2.0</v>
      </c>
      <c r="M46" s="15">
        <v>4.0</v>
      </c>
      <c r="N46" s="3">
        <v>3.5</v>
      </c>
      <c r="O46" s="3">
        <v>4.0</v>
      </c>
      <c r="P46" s="3">
        <v>2.0</v>
      </c>
      <c r="Q46" s="3">
        <v>1.0</v>
      </c>
      <c r="R46" s="3">
        <v>2.0</v>
      </c>
    </row>
    <row r="47" ht="22.5" customHeight="1">
      <c r="A47" s="20">
        <v>46.0</v>
      </c>
      <c r="B47" s="21" t="s">
        <v>65</v>
      </c>
      <c r="C47" s="5">
        <v>19.0</v>
      </c>
      <c r="D47" s="21" t="s">
        <v>33</v>
      </c>
      <c r="E47" s="21" t="s">
        <v>28</v>
      </c>
      <c r="F47" s="22" t="s">
        <v>34</v>
      </c>
      <c r="G47" s="3">
        <v>3.5</v>
      </c>
      <c r="H47" s="22" t="s">
        <v>35</v>
      </c>
      <c r="I47" s="5">
        <v>5.0</v>
      </c>
      <c r="J47" s="21" t="s">
        <v>37</v>
      </c>
      <c r="K47" s="3">
        <v>3.5</v>
      </c>
      <c r="L47" s="3">
        <v>3.5</v>
      </c>
      <c r="M47" s="15">
        <v>4.5</v>
      </c>
      <c r="N47" s="3">
        <v>4.0</v>
      </c>
      <c r="O47" s="3">
        <v>4.0</v>
      </c>
      <c r="P47" s="3">
        <v>3.5</v>
      </c>
      <c r="Q47" s="3">
        <v>3.3333333333333335</v>
      </c>
      <c r="R47" s="3">
        <v>4.0</v>
      </c>
    </row>
    <row r="48" ht="22.5" customHeight="1">
      <c r="A48" s="20">
        <v>47.0</v>
      </c>
      <c r="B48" s="21" t="s">
        <v>26</v>
      </c>
      <c r="C48" s="5">
        <v>22.0</v>
      </c>
      <c r="D48" s="21" t="s">
        <v>33</v>
      </c>
      <c r="E48" s="21" t="s">
        <v>28</v>
      </c>
      <c r="F48" s="22" t="s">
        <v>34</v>
      </c>
      <c r="G48" s="3">
        <v>3.5</v>
      </c>
      <c r="H48" s="22" t="s">
        <v>35</v>
      </c>
      <c r="I48" s="5">
        <v>5.0</v>
      </c>
      <c r="J48" s="21" t="s">
        <v>37</v>
      </c>
      <c r="K48" s="3">
        <v>3.0</v>
      </c>
      <c r="L48" s="3">
        <v>2.0</v>
      </c>
      <c r="M48" s="15">
        <v>3.0</v>
      </c>
      <c r="N48" s="3">
        <v>4.0</v>
      </c>
      <c r="O48" s="3">
        <v>2.5</v>
      </c>
      <c r="P48" s="3">
        <v>1.0</v>
      </c>
      <c r="Q48" s="3">
        <v>2.3333333333333335</v>
      </c>
      <c r="R48" s="3">
        <v>3.0</v>
      </c>
    </row>
    <row r="49" ht="22.5" customHeight="1">
      <c r="A49" s="20">
        <v>48.0</v>
      </c>
      <c r="B49" s="24"/>
      <c r="C49" s="25" t="s">
        <v>112</v>
      </c>
      <c r="D49" s="24"/>
      <c r="E49" s="24"/>
      <c r="F49" s="24"/>
      <c r="G49" s="3" t="s">
        <v>112</v>
      </c>
      <c r="H49" s="22" t="s">
        <v>41</v>
      </c>
      <c r="I49" s="5">
        <v>8.0</v>
      </c>
      <c r="J49" s="21" t="s">
        <v>37</v>
      </c>
      <c r="K49" s="3">
        <v>4.5</v>
      </c>
      <c r="L49" s="3">
        <v>4.0</v>
      </c>
      <c r="M49" s="15">
        <v>4.5</v>
      </c>
      <c r="N49" s="3">
        <v>4.5</v>
      </c>
      <c r="O49" s="3">
        <v>4.5</v>
      </c>
      <c r="P49" s="3">
        <v>3.5</v>
      </c>
      <c r="Q49" s="3">
        <v>2.6666666666666665</v>
      </c>
      <c r="R49" s="3">
        <v>4.333333333333333</v>
      </c>
    </row>
    <row r="50" ht="22.5" customHeight="1">
      <c r="A50" s="20">
        <v>49.0</v>
      </c>
      <c r="B50" s="21" t="s">
        <v>59</v>
      </c>
      <c r="C50" s="5">
        <v>29.0</v>
      </c>
      <c r="D50" s="21" t="s">
        <v>27</v>
      </c>
      <c r="E50" s="21" t="s">
        <v>28</v>
      </c>
      <c r="F50" s="22" t="s">
        <v>34</v>
      </c>
      <c r="G50" s="3">
        <v>3.5</v>
      </c>
      <c r="H50" s="22" t="s">
        <v>35</v>
      </c>
      <c r="I50" s="5">
        <v>5.0</v>
      </c>
      <c r="J50" s="21" t="s">
        <v>37</v>
      </c>
      <c r="K50" s="3">
        <v>3.0</v>
      </c>
      <c r="L50" s="3">
        <v>4.0</v>
      </c>
      <c r="M50" s="15">
        <v>4.0</v>
      </c>
      <c r="N50" s="3">
        <v>4.0</v>
      </c>
      <c r="O50" s="3">
        <v>3.0</v>
      </c>
      <c r="P50" s="3">
        <v>3.5</v>
      </c>
      <c r="Q50" s="3">
        <v>4.0</v>
      </c>
      <c r="R50" s="3">
        <v>4.0</v>
      </c>
    </row>
    <row r="51" ht="22.5" customHeight="1">
      <c r="A51" s="20">
        <v>50.0</v>
      </c>
      <c r="B51" s="21" t="s">
        <v>59</v>
      </c>
      <c r="C51" s="5">
        <v>29.0</v>
      </c>
      <c r="D51" s="21" t="s">
        <v>27</v>
      </c>
      <c r="E51" s="21" t="s">
        <v>55</v>
      </c>
      <c r="F51" s="22" t="s">
        <v>34</v>
      </c>
      <c r="G51" s="3">
        <v>3.5</v>
      </c>
      <c r="H51" s="22" t="s">
        <v>39</v>
      </c>
      <c r="I51" s="5">
        <v>2.0</v>
      </c>
      <c r="J51" s="21" t="s">
        <v>37</v>
      </c>
      <c r="K51" s="3">
        <v>4.5</v>
      </c>
      <c r="L51" s="3">
        <v>4.0</v>
      </c>
      <c r="M51" s="15">
        <v>4.5</v>
      </c>
      <c r="N51" s="3">
        <v>4.0</v>
      </c>
      <c r="O51" s="3">
        <v>4.0</v>
      </c>
      <c r="P51" s="3">
        <v>4.0</v>
      </c>
      <c r="Q51" s="3">
        <v>3.6666666666666665</v>
      </c>
      <c r="R51" s="3">
        <v>3.6666666666666665</v>
      </c>
    </row>
    <row r="52" ht="22.5" customHeight="1">
      <c r="A52" s="20">
        <v>51.0</v>
      </c>
      <c r="B52" s="21" t="s">
        <v>59</v>
      </c>
      <c r="C52" s="5">
        <v>29.0</v>
      </c>
      <c r="D52" s="21" t="s">
        <v>27</v>
      </c>
      <c r="E52" s="21" t="s">
        <v>28</v>
      </c>
      <c r="F52" s="21" t="s">
        <v>29</v>
      </c>
      <c r="G52" s="3">
        <v>7.0</v>
      </c>
      <c r="H52" s="21" t="s">
        <v>96</v>
      </c>
      <c r="I52" s="5">
        <v>11.0</v>
      </c>
      <c r="J52" s="21" t="s">
        <v>32</v>
      </c>
      <c r="K52" s="3">
        <v>5.0</v>
      </c>
      <c r="L52" s="3">
        <v>5.0</v>
      </c>
      <c r="M52" s="15">
        <v>5.0</v>
      </c>
      <c r="N52" s="3">
        <v>4.0</v>
      </c>
      <c r="O52" s="3">
        <v>5.0</v>
      </c>
      <c r="P52" s="3">
        <v>4.5</v>
      </c>
      <c r="Q52" s="3">
        <v>5.0</v>
      </c>
      <c r="R52" s="3">
        <v>5.0</v>
      </c>
    </row>
    <row r="53">
      <c r="A53" s="26"/>
      <c r="B53" s="27"/>
      <c r="C53" s="28"/>
      <c r="D53" s="27"/>
      <c r="E53" s="27"/>
      <c r="F53" s="27"/>
      <c r="H53" s="27"/>
      <c r="I53" s="28"/>
      <c r="J53" s="27"/>
      <c r="M53" s="29"/>
      <c r="N53" s="29"/>
      <c r="O53" s="30"/>
      <c r="P53" s="29"/>
      <c r="Q53" s="12"/>
      <c r="R53" s="12"/>
    </row>
    <row r="54">
      <c r="A54" s="26"/>
      <c r="B54" s="27"/>
      <c r="C54" s="28"/>
      <c r="D54" s="27"/>
      <c r="E54" s="27"/>
      <c r="F54" s="27"/>
      <c r="H54" s="27"/>
      <c r="I54" s="28"/>
      <c r="J54" s="27"/>
      <c r="M54" s="29"/>
      <c r="N54" s="29"/>
      <c r="O54" s="30"/>
      <c r="P54" s="29"/>
      <c r="Q54" s="12"/>
      <c r="R54" s="12"/>
    </row>
    <row r="55">
      <c r="A55" s="31"/>
      <c r="B55" s="32"/>
      <c r="C55" s="7"/>
      <c r="D55" s="32"/>
      <c r="E55" s="32"/>
      <c r="F55" s="27"/>
      <c r="H55" s="27"/>
      <c r="I55" s="28"/>
      <c r="J55" s="27"/>
      <c r="K55" s="12"/>
      <c r="L55" s="12"/>
      <c r="M55" s="12"/>
      <c r="N55" s="12"/>
      <c r="O55" s="12"/>
      <c r="P55" s="12"/>
      <c r="Q55" s="12"/>
      <c r="R55" s="12"/>
    </row>
    <row r="56">
      <c r="A56" s="26"/>
      <c r="B56" s="27"/>
      <c r="C56" s="28"/>
      <c r="D56" s="27"/>
      <c r="E56" s="27"/>
      <c r="F56" s="27"/>
      <c r="H56" s="27"/>
      <c r="I56" s="28"/>
      <c r="J56" s="27"/>
      <c r="M56" s="29"/>
      <c r="N56" s="29"/>
      <c r="O56" s="30"/>
      <c r="P56" s="29"/>
      <c r="Q56" s="12"/>
      <c r="R56" s="12"/>
    </row>
    <row r="57">
      <c r="A57" s="26"/>
      <c r="B57" s="27"/>
      <c r="C57" s="28"/>
      <c r="D57" s="27"/>
      <c r="E57" s="27"/>
      <c r="F57" s="27"/>
      <c r="H57" s="27"/>
      <c r="I57" s="28"/>
      <c r="J57" s="27"/>
      <c r="M57" s="29"/>
      <c r="N57" s="29"/>
      <c r="O57" s="30"/>
      <c r="P57" s="29"/>
      <c r="Q57" s="12"/>
      <c r="R57" s="12"/>
    </row>
    <row r="58">
      <c r="A58" s="26"/>
      <c r="B58" s="27"/>
      <c r="C58" s="28"/>
      <c r="D58" s="27"/>
      <c r="E58" s="27"/>
      <c r="F58" s="27"/>
      <c r="H58" s="27"/>
      <c r="I58" s="28"/>
      <c r="J58" s="27"/>
      <c r="M58" s="29"/>
      <c r="N58" s="29"/>
      <c r="O58" s="30"/>
      <c r="P58" s="29"/>
      <c r="Q58" s="12"/>
      <c r="R58" s="12"/>
    </row>
    <row r="59">
      <c r="A59" s="26"/>
      <c r="B59" s="27"/>
      <c r="C59" s="28"/>
      <c r="D59" s="27"/>
      <c r="E59" s="27"/>
      <c r="F59" s="27"/>
      <c r="H59" s="27"/>
      <c r="I59" s="28"/>
      <c r="J59" s="27"/>
      <c r="M59" s="29"/>
      <c r="N59" s="29"/>
      <c r="O59" s="30"/>
      <c r="P59" s="29"/>
      <c r="Q59" s="12"/>
      <c r="R59" s="12"/>
    </row>
    <row r="60">
      <c r="A60" s="26"/>
      <c r="B60" s="27"/>
      <c r="C60" s="28"/>
      <c r="D60" s="27"/>
      <c r="E60" s="27"/>
      <c r="F60" s="27"/>
      <c r="H60" s="27"/>
      <c r="I60" s="28"/>
      <c r="J60" s="27"/>
      <c r="M60" s="29"/>
      <c r="N60" s="29"/>
      <c r="O60" s="30"/>
      <c r="P60" s="29"/>
      <c r="Q60" s="12"/>
      <c r="R60" s="12"/>
    </row>
    <row r="61">
      <c r="A61" s="26"/>
      <c r="B61" s="27"/>
      <c r="C61" s="28"/>
      <c r="D61" s="27"/>
      <c r="E61" s="27"/>
      <c r="F61" s="27"/>
      <c r="H61" s="27"/>
      <c r="I61" s="28"/>
      <c r="J61" s="27"/>
      <c r="M61" s="29"/>
      <c r="N61" s="29"/>
      <c r="O61" s="30"/>
      <c r="P61" s="29"/>
      <c r="Q61" s="12"/>
      <c r="R61" s="12"/>
    </row>
    <row r="62">
      <c r="A62" s="26"/>
      <c r="B62" s="27"/>
      <c r="C62" s="28"/>
      <c r="D62" s="27"/>
      <c r="E62" s="27"/>
      <c r="F62" s="27"/>
      <c r="H62" s="27"/>
      <c r="I62" s="28"/>
      <c r="J62" s="27"/>
      <c r="M62" s="29"/>
      <c r="N62" s="29"/>
      <c r="O62" s="30"/>
      <c r="P62" s="29"/>
      <c r="Q62" s="12"/>
      <c r="R62" s="12"/>
    </row>
    <row r="63">
      <c r="A63" s="26"/>
      <c r="B63" s="33"/>
      <c r="C63" s="28"/>
      <c r="D63" s="27"/>
      <c r="E63" s="27"/>
      <c r="F63" s="27"/>
      <c r="H63" s="27"/>
      <c r="I63" s="28"/>
      <c r="J63" s="27"/>
      <c r="M63" s="29"/>
      <c r="N63" s="29"/>
      <c r="O63" s="30"/>
      <c r="P63" s="29"/>
      <c r="Q63" s="12"/>
      <c r="R63" s="12"/>
    </row>
    <row r="64">
      <c r="A64" s="26"/>
      <c r="B64" s="27"/>
      <c r="C64" s="28"/>
      <c r="D64" s="27"/>
      <c r="E64" s="27"/>
      <c r="F64" s="27"/>
      <c r="H64" s="27"/>
      <c r="I64" s="28"/>
      <c r="J64" s="27"/>
      <c r="M64" s="29"/>
      <c r="N64" s="29"/>
      <c r="O64" s="30"/>
      <c r="P64" s="29"/>
      <c r="Q64" s="12"/>
      <c r="R64" s="12"/>
    </row>
    <row r="65">
      <c r="A65" s="26"/>
      <c r="B65" s="27"/>
      <c r="C65" s="28"/>
      <c r="D65" s="27"/>
      <c r="E65" s="27"/>
      <c r="F65" s="27"/>
      <c r="H65" s="27"/>
      <c r="I65" s="28"/>
      <c r="J65" s="27"/>
      <c r="M65" s="29"/>
      <c r="N65" s="29"/>
      <c r="O65" s="30"/>
      <c r="P65" s="29"/>
      <c r="Q65" s="12"/>
      <c r="R65" s="12"/>
    </row>
    <row r="66">
      <c r="A66" s="26"/>
      <c r="B66" s="34"/>
      <c r="C66" s="28"/>
      <c r="D66" s="27"/>
      <c r="E66" s="34"/>
      <c r="F66" s="34"/>
      <c r="G66" s="9"/>
      <c r="H66" s="34"/>
      <c r="I66" s="35"/>
      <c r="J66" s="34"/>
      <c r="M66" s="29"/>
      <c r="N66" s="29"/>
      <c r="O66" s="30"/>
      <c r="P66" s="29"/>
      <c r="Q66" s="12"/>
      <c r="R66" s="12"/>
    </row>
    <row r="67">
      <c r="A67" s="26"/>
      <c r="B67" s="27"/>
      <c r="C67" s="35"/>
      <c r="D67" s="34"/>
      <c r="E67" s="36"/>
      <c r="F67" s="36"/>
      <c r="G67" s="10"/>
      <c r="H67" s="36"/>
      <c r="I67" s="10"/>
      <c r="J67" s="36"/>
      <c r="M67" s="37"/>
      <c r="N67" s="38"/>
      <c r="O67" s="30"/>
      <c r="P67" s="29"/>
      <c r="Q67" s="12"/>
      <c r="R67" s="12"/>
    </row>
    <row r="68">
      <c r="A68" s="26"/>
      <c r="B68" s="27"/>
      <c r="C68" s="11"/>
      <c r="D68" s="33"/>
      <c r="E68" s="27"/>
      <c r="F68" s="27"/>
      <c r="H68" s="27"/>
      <c r="I68" s="28"/>
      <c r="J68" s="27"/>
      <c r="M68" s="37"/>
      <c r="N68" s="38"/>
      <c r="O68" s="30"/>
      <c r="P68" s="29"/>
      <c r="Q68" s="12"/>
      <c r="R68" s="12"/>
    </row>
    <row r="69">
      <c r="A69" s="26"/>
      <c r="B69" s="27"/>
      <c r="C69" s="11"/>
      <c r="D69" s="33"/>
      <c r="E69" s="27"/>
      <c r="F69" s="27"/>
      <c r="H69" s="27"/>
      <c r="I69" s="28"/>
      <c r="J69" s="27"/>
      <c r="M69" s="37"/>
      <c r="N69" s="38"/>
      <c r="O69" s="30"/>
      <c r="P69" s="29"/>
      <c r="Q69" s="12"/>
      <c r="R69" s="12"/>
    </row>
    <row r="70">
      <c r="A70" s="26"/>
      <c r="B70" s="27"/>
      <c r="C70" s="11"/>
      <c r="D70" s="33"/>
      <c r="E70" s="27"/>
      <c r="F70" s="27"/>
      <c r="H70" s="27"/>
      <c r="J70" s="27"/>
      <c r="M70" s="37"/>
      <c r="N70" s="38"/>
      <c r="O70" s="30"/>
      <c r="P70" s="29"/>
      <c r="Q70" s="12"/>
      <c r="R70" s="12"/>
    </row>
    <row r="71">
      <c r="A71" s="26"/>
      <c r="B71" s="27"/>
      <c r="C71" s="11"/>
      <c r="D71" s="33"/>
      <c r="E71" s="27"/>
      <c r="F71" s="34"/>
      <c r="G71" s="9"/>
      <c r="H71" s="34"/>
      <c r="I71" s="35"/>
      <c r="J71" s="34"/>
      <c r="M71" s="37"/>
      <c r="N71" s="38"/>
      <c r="O71" s="30"/>
      <c r="P71" s="29"/>
      <c r="Q71" s="12"/>
      <c r="R71" s="12"/>
    </row>
    <row r="72">
      <c r="A72" s="26"/>
      <c r="B72" s="27"/>
      <c r="C72" s="11"/>
      <c r="D72" s="33"/>
      <c r="E72" s="27"/>
      <c r="F72" s="36"/>
      <c r="G72" s="10"/>
      <c r="H72" s="36"/>
      <c r="I72" s="10"/>
      <c r="J72" s="36"/>
      <c r="M72" s="37"/>
      <c r="N72" s="38"/>
      <c r="O72" s="30"/>
      <c r="P72" s="29"/>
      <c r="Q72" s="12"/>
      <c r="R72" s="12"/>
    </row>
    <row r="73">
      <c r="A73" s="26"/>
      <c r="B73" s="27"/>
      <c r="C73" s="11"/>
      <c r="D73" s="33"/>
      <c r="E73" s="27"/>
      <c r="F73" s="33"/>
      <c r="G73" s="12"/>
      <c r="H73" s="27"/>
      <c r="J73" s="27"/>
      <c r="M73" s="37"/>
      <c r="N73" s="38"/>
      <c r="O73" s="30"/>
      <c r="P73" s="29"/>
      <c r="Q73" s="12"/>
      <c r="R73" s="12"/>
    </row>
    <row r="74">
      <c r="A74" s="26"/>
      <c r="B74" s="27"/>
      <c r="C74" s="11"/>
      <c r="D74" s="33"/>
      <c r="E74" s="27"/>
      <c r="F74" s="33"/>
      <c r="G74" s="12"/>
      <c r="H74" s="27"/>
      <c r="J74" s="27"/>
      <c r="M74" s="37"/>
      <c r="N74" s="38"/>
      <c r="O74" s="30"/>
      <c r="P74" s="29"/>
      <c r="Q74" s="12"/>
      <c r="R74" s="12"/>
    </row>
    <row r="75">
      <c r="A75" s="26"/>
      <c r="B75" s="27"/>
      <c r="C75" s="11"/>
      <c r="D75" s="33"/>
      <c r="E75" s="27"/>
      <c r="F75" s="33"/>
      <c r="G75" s="12"/>
      <c r="H75" s="27"/>
      <c r="J75" s="27"/>
      <c r="M75" s="37"/>
      <c r="N75" s="38"/>
      <c r="O75" s="30"/>
      <c r="P75" s="29"/>
      <c r="Q75" s="12"/>
      <c r="R75" s="12"/>
    </row>
    <row r="76">
      <c r="A76" s="26"/>
      <c r="B76" s="27"/>
      <c r="C76" s="28"/>
      <c r="D76" s="27"/>
      <c r="E76" s="27"/>
      <c r="F76" s="33"/>
      <c r="G76" s="12"/>
      <c r="H76" s="27"/>
      <c r="J76" s="27"/>
      <c r="M76" s="37"/>
      <c r="N76" s="38"/>
      <c r="O76" s="30"/>
      <c r="P76" s="29"/>
      <c r="Q76" s="12"/>
      <c r="R76" s="12"/>
    </row>
    <row r="77">
      <c r="A77" s="26"/>
      <c r="B77" s="27"/>
      <c r="C77" s="28"/>
      <c r="D77" s="27"/>
      <c r="E77" s="27"/>
      <c r="F77" s="33"/>
      <c r="G77" s="12"/>
      <c r="H77" s="27"/>
      <c r="J77" s="27"/>
      <c r="M77" s="37"/>
      <c r="N77" s="38"/>
      <c r="O77" s="30"/>
      <c r="P77" s="29"/>
      <c r="Q77" s="12"/>
      <c r="R77" s="12"/>
    </row>
    <row r="78">
      <c r="A78" s="26"/>
      <c r="B78" s="27"/>
      <c r="C78" s="28"/>
      <c r="D78" s="27"/>
      <c r="E78" s="27"/>
      <c r="F78" s="33"/>
      <c r="G78" s="12"/>
      <c r="H78" s="27"/>
      <c r="J78" s="27"/>
      <c r="M78" s="37"/>
      <c r="N78" s="38"/>
      <c r="O78" s="30"/>
      <c r="P78" s="29"/>
      <c r="Q78" s="12"/>
      <c r="R78" s="12"/>
    </row>
    <row r="79">
      <c r="A79" s="26"/>
      <c r="B79" s="27"/>
      <c r="C79" s="28"/>
      <c r="D79" s="27"/>
      <c r="E79" s="27"/>
      <c r="F79" s="33"/>
      <c r="G79" s="12"/>
      <c r="H79" s="27"/>
      <c r="J79" s="27"/>
      <c r="M79" s="37"/>
      <c r="N79" s="38"/>
      <c r="O79" s="30"/>
      <c r="P79" s="29"/>
      <c r="Q79" s="12"/>
      <c r="R79" s="12"/>
    </row>
    <row r="80">
      <c r="A80" s="26"/>
      <c r="B80" s="27"/>
      <c r="C80" s="28"/>
      <c r="D80" s="27"/>
      <c r="E80" s="27"/>
      <c r="F80" s="33"/>
      <c r="G80" s="12"/>
      <c r="H80" s="27"/>
      <c r="I80" s="28"/>
      <c r="J80" s="27"/>
      <c r="M80" s="37"/>
      <c r="N80" s="38"/>
      <c r="O80" s="30"/>
      <c r="P80" s="29"/>
      <c r="Q80" s="12"/>
      <c r="R80" s="12"/>
    </row>
    <row r="81">
      <c r="A81" s="26"/>
      <c r="B81" s="27"/>
      <c r="C81" s="28"/>
      <c r="D81" s="27"/>
      <c r="E81" s="27"/>
      <c r="F81" s="27"/>
      <c r="H81" s="27"/>
      <c r="I81" s="28"/>
      <c r="J81" s="27"/>
      <c r="M81" s="37"/>
      <c r="N81" s="38"/>
      <c r="O81" s="30"/>
      <c r="P81" s="29"/>
      <c r="Q81" s="12"/>
      <c r="R81" s="12"/>
    </row>
    <row r="82">
      <c r="A82" s="26"/>
      <c r="B82" s="27"/>
      <c r="C82" s="28"/>
      <c r="D82" s="27"/>
      <c r="E82" s="27"/>
      <c r="F82" s="27"/>
      <c r="H82" s="27"/>
      <c r="I82" s="28"/>
      <c r="J82" s="27"/>
      <c r="M82" s="37"/>
      <c r="N82" s="38"/>
      <c r="O82" s="30"/>
      <c r="P82" s="29"/>
      <c r="Q82" s="12"/>
      <c r="R82" s="12"/>
    </row>
    <row r="83">
      <c r="A83" s="26"/>
      <c r="B83" s="27"/>
      <c r="C83" s="28"/>
      <c r="D83" s="27"/>
      <c r="E83" s="27"/>
      <c r="F83" s="27"/>
      <c r="H83" s="27"/>
      <c r="I83" s="28"/>
      <c r="J83" s="27"/>
      <c r="M83" s="37"/>
      <c r="N83" s="38"/>
      <c r="O83" s="30"/>
      <c r="P83" s="29"/>
      <c r="Q83" s="12"/>
      <c r="R83" s="12"/>
    </row>
    <row r="84">
      <c r="A84" s="26"/>
      <c r="B84" s="27"/>
      <c r="C84" s="28"/>
      <c r="D84" s="27"/>
      <c r="E84" s="27"/>
      <c r="F84" s="27"/>
      <c r="H84" s="27"/>
      <c r="I84" s="28"/>
      <c r="J84" s="27"/>
      <c r="M84" s="37"/>
      <c r="N84" s="38"/>
      <c r="O84" s="30"/>
      <c r="P84" s="29"/>
      <c r="Q84" s="12"/>
      <c r="R84" s="12"/>
    </row>
    <row r="85">
      <c r="A85" s="26"/>
      <c r="B85" s="27"/>
      <c r="C85" s="28"/>
      <c r="D85" s="27"/>
      <c r="E85" s="27"/>
      <c r="F85" s="27"/>
      <c r="H85" s="27"/>
      <c r="I85" s="28"/>
      <c r="J85" s="27"/>
      <c r="M85" s="37"/>
      <c r="N85" s="38"/>
      <c r="O85" s="30"/>
      <c r="P85" s="29"/>
      <c r="Q85" s="12"/>
      <c r="R85" s="12"/>
    </row>
    <row r="86">
      <c r="A86" s="26"/>
      <c r="B86" s="27"/>
      <c r="C86" s="28"/>
      <c r="D86" s="27"/>
      <c r="E86" s="27"/>
      <c r="F86" s="27"/>
      <c r="H86" s="27"/>
      <c r="I86" s="28"/>
      <c r="J86" s="27"/>
      <c r="M86" s="37"/>
      <c r="N86" s="38"/>
      <c r="O86" s="30"/>
      <c r="P86" s="29"/>
      <c r="Q86" s="12"/>
      <c r="R86" s="12"/>
    </row>
    <row r="87">
      <c r="A87" s="26"/>
      <c r="B87" s="27"/>
      <c r="C87" s="28"/>
      <c r="D87" s="27"/>
      <c r="E87" s="27"/>
      <c r="F87" s="27"/>
      <c r="H87" s="27"/>
      <c r="I87" s="28"/>
      <c r="J87" s="27"/>
      <c r="M87" s="37"/>
      <c r="N87" s="38"/>
      <c r="O87" s="30"/>
      <c r="P87" s="29"/>
      <c r="Q87" s="12"/>
      <c r="R87" s="12"/>
    </row>
    <row r="88">
      <c r="A88" s="26"/>
      <c r="B88" s="27"/>
      <c r="C88" s="28"/>
      <c r="D88" s="27"/>
      <c r="E88" s="27"/>
      <c r="F88" s="27"/>
      <c r="H88" s="27"/>
      <c r="I88" s="28"/>
      <c r="J88" s="27"/>
      <c r="M88" s="37"/>
      <c r="N88" s="38"/>
      <c r="O88" s="30"/>
      <c r="P88" s="29"/>
      <c r="Q88" s="12"/>
      <c r="R88" s="12"/>
    </row>
    <row r="89">
      <c r="A89" s="26"/>
      <c r="B89" s="27"/>
      <c r="C89" s="28"/>
      <c r="D89" s="27"/>
      <c r="E89" s="27"/>
      <c r="F89" s="27"/>
      <c r="H89" s="27"/>
      <c r="I89" s="28"/>
      <c r="J89" s="27"/>
      <c r="M89" s="37"/>
      <c r="N89" s="38"/>
      <c r="O89" s="30"/>
      <c r="P89" s="29"/>
      <c r="Q89" s="12"/>
      <c r="R89" s="12"/>
    </row>
    <row r="90">
      <c r="A90" s="26"/>
      <c r="B90" s="27"/>
      <c r="C90" s="28"/>
      <c r="D90" s="27"/>
      <c r="E90" s="27"/>
      <c r="F90" s="27"/>
      <c r="H90" s="27"/>
      <c r="I90" s="28"/>
      <c r="J90" s="27"/>
      <c r="M90" s="37"/>
      <c r="N90" s="38"/>
      <c r="O90" s="30"/>
      <c r="P90" s="29"/>
      <c r="Q90" s="12"/>
      <c r="R90" s="12"/>
    </row>
    <row r="91">
      <c r="A91" s="26"/>
      <c r="B91" s="27"/>
      <c r="C91" s="28"/>
      <c r="D91" s="27"/>
      <c r="E91" s="27"/>
      <c r="F91" s="27"/>
      <c r="H91" s="27"/>
      <c r="I91" s="28"/>
      <c r="J91" s="27"/>
      <c r="M91" s="37"/>
      <c r="N91" s="38"/>
      <c r="O91" s="30"/>
      <c r="P91" s="29"/>
      <c r="Q91" s="12"/>
      <c r="R91" s="12"/>
    </row>
    <row r="92">
      <c r="A92" s="26"/>
      <c r="B92" s="27"/>
      <c r="C92" s="28"/>
      <c r="D92" s="27"/>
      <c r="E92" s="27"/>
      <c r="F92" s="27"/>
      <c r="H92" s="27"/>
      <c r="I92" s="28"/>
      <c r="J92" s="27"/>
      <c r="M92" s="37"/>
      <c r="N92" s="38"/>
      <c r="O92" s="30"/>
      <c r="P92" s="29"/>
      <c r="Q92" s="12"/>
      <c r="R92" s="12"/>
    </row>
    <row r="93">
      <c r="A93" s="26"/>
      <c r="B93" s="27"/>
      <c r="C93" s="28"/>
      <c r="D93" s="27"/>
      <c r="E93" s="27"/>
      <c r="F93" s="27"/>
      <c r="H93" s="27"/>
      <c r="I93" s="28"/>
      <c r="J93" s="27"/>
      <c r="M93" s="37"/>
      <c r="N93" s="38"/>
      <c r="O93" s="30"/>
      <c r="P93" s="29"/>
      <c r="Q93" s="12"/>
      <c r="R93" s="12"/>
    </row>
    <row r="94">
      <c r="A94" s="26"/>
      <c r="B94" s="27"/>
      <c r="C94" s="28"/>
      <c r="D94" s="27"/>
      <c r="E94" s="27"/>
      <c r="F94" s="27"/>
      <c r="H94" s="27"/>
      <c r="I94" s="28"/>
      <c r="J94" s="27"/>
      <c r="M94" s="37"/>
      <c r="N94" s="38"/>
      <c r="O94" s="30"/>
      <c r="P94" s="29"/>
      <c r="Q94" s="12"/>
      <c r="R94" s="12"/>
    </row>
    <row r="95">
      <c r="A95" s="26"/>
      <c r="B95" s="27"/>
      <c r="C95" s="28"/>
      <c r="D95" s="27"/>
      <c r="E95" s="27"/>
      <c r="F95" s="27"/>
      <c r="H95" s="27"/>
      <c r="I95" s="28"/>
      <c r="J95" s="27"/>
      <c r="M95" s="37"/>
      <c r="N95" s="38"/>
      <c r="O95" s="30"/>
      <c r="P95" s="29"/>
      <c r="Q95" s="12"/>
      <c r="R95" s="12"/>
    </row>
    <row r="96">
      <c r="A96" s="26"/>
      <c r="B96" s="27"/>
      <c r="C96" s="28"/>
      <c r="D96" s="27"/>
      <c r="E96" s="27"/>
      <c r="F96" s="27"/>
      <c r="H96" s="27"/>
      <c r="I96" s="28"/>
      <c r="J96" s="27"/>
      <c r="M96" s="37"/>
      <c r="N96" s="38"/>
      <c r="O96" s="30"/>
      <c r="P96" s="29"/>
      <c r="Q96" s="12"/>
      <c r="R96" s="12"/>
    </row>
    <row r="97">
      <c r="A97" s="26"/>
      <c r="B97" s="27"/>
      <c r="C97" s="28"/>
      <c r="D97" s="27"/>
      <c r="E97" s="27"/>
      <c r="F97" s="27"/>
      <c r="H97" s="27"/>
      <c r="I97" s="28"/>
      <c r="J97" s="27"/>
      <c r="M97" s="37"/>
      <c r="N97" s="38"/>
      <c r="O97" s="30"/>
      <c r="P97" s="29"/>
      <c r="Q97" s="12"/>
      <c r="R97" s="12"/>
    </row>
    <row r="98">
      <c r="A98" s="26"/>
      <c r="B98" s="27"/>
      <c r="C98" s="28"/>
      <c r="D98" s="27"/>
      <c r="E98" s="27"/>
      <c r="F98" s="27"/>
      <c r="H98" s="27"/>
      <c r="I98" s="28"/>
      <c r="J98" s="27"/>
      <c r="M98" s="37"/>
      <c r="N98" s="38"/>
      <c r="O98" s="30"/>
      <c r="P98" s="29"/>
      <c r="Q98" s="12"/>
      <c r="R98" s="12"/>
    </row>
    <row r="99">
      <c r="A99" s="26"/>
      <c r="B99" s="27"/>
      <c r="C99" s="28"/>
      <c r="D99" s="27"/>
      <c r="E99" s="27"/>
      <c r="F99" s="27"/>
      <c r="H99" s="27"/>
      <c r="I99" s="28"/>
      <c r="J99" s="27"/>
      <c r="M99" s="37"/>
      <c r="N99" s="38"/>
      <c r="O99" s="30"/>
      <c r="P99" s="29"/>
      <c r="Q99" s="12"/>
      <c r="R99" s="12"/>
    </row>
    <row r="100">
      <c r="A100" s="26"/>
      <c r="B100" s="27"/>
      <c r="C100" s="28"/>
      <c r="D100" s="27"/>
      <c r="E100" s="27"/>
      <c r="F100" s="27"/>
      <c r="H100" s="27"/>
      <c r="I100" s="28"/>
      <c r="J100" s="27"/>
      <c r="M100" s="37"/>
      <c r="N100" s="38"/>
      <c r="O100" s="30"/>
      <c r="P100" s="29"/>
      <c r="Q100" s="12"/>
      <c r="R100" s="12"/>
    </row>
    <row r="101">
      <c r="A101" s="26"/>
      <c r="B101" s="27"/>
      <c r="C101" s="28"/>
      <c r="D101" s="27"/>
      <c r="E101" s="27"/>
      <c r="F101" s="27"/>
      <c r="H101" s="27"/>
      <c r="I101" s="28"/>
      <c r="J101" s="27"/>
      <c r="M101" s="37"/>
      <c r="N101" s="38"/>
      <c r="O101" s="30"/>
      <c r="P101" s="29"/>
      <c r="Q101" s="12"/>
      <c r="R101" s="12"/>
    </row>
    <row r="102">
      <c r="A102" s="26"/>
      <c r="B102" s="27"/>
      <c r="C102" s="28"/>
      <c r="D102" s="27"/>
      <c r="E102" s="27"/>
      <c r="F102" s="27"/>
      <c r="H102" s="27"/>
      <c r="I102" s="28"/>
      <c r="J102" s="27"/>
      <c r="M102" s="37"/>
      <c r="N102" s="38"/>
      <c r="O102" s="30"/>
      <c r="P102" s="29"/>
      <c r="Q102" s="12"/>
      <c r="R102" s="12"/>
    </row>
    <row r="103">
      <c r="A103" s="26"/>
      <c r="B103" s="27"/>
      <c r="C103" s="28"/>
      <c r="D103" s="27"/>
      <c r="E103" s="27"/>
      <c r="F103" s="27"/>
      <c r="H103" s="27"/>
      <c r="I103" s="28"/>
      <c r="J103" s="27"/>
      <c r="M103" s="37"/>
      <c r="N103" s="38"/>
      <c r="O103" s="30"/>
      <c r="P103" s="29"/>
      <c r="Q103" s="12"/>
      <c r="R103" s="12"/>
    </row>
    <row r="104">
      <c r="A104" s="26"/>
      <c r="B104" s="27"/>
      <c r="C104" s="28"/>
      <c r="D104" s="27"/>
      <c r="E104" s="27"/>
      <c r="F104" s="27"/>
      <c r="H104" s="27"/>
      <c r="I104" s="28"/>
      <c r="J104" s="27"/>
      <c r="M104" s="37"/>
      <c r="N104" s="38"/>
      <c r="O104" s="30"/>
      <c r="P104" s="29"/>
      <c r="Q104" s="12"/>
      <c r="R104" s="12"/>
    </row>
    <row r="105">
      <c r="A105" s="26"/>
      <c r="B105" s="27"/>
      <c r="C105" s="28"/>
      <c r="D105" s="27"/>
      <c r="E105" s="27"/>
      <c r="F105" s="27"/>
      <c r="H105" s="27"/>
      <c r="I105" s="28"/>
      <c r="J105" s="27"/>
      <c r="M105" s="37"/>
      <c r="N105" s="38"/>
      <c r="O105" s="30"/>
      <c r="P105" s="29"/>
      <c r="Q105" s="12"/>
      <c r="R105" s="12"/>
    </row>
    <row r="106">
      <c r="A106" s="26"/>
      <c r="B106" s="27"/>
      <c r="C106" s="28"/>
      <c r="D106" s="27"/>
      <c r="E106" s="27"/>
      <c r="F106" s="27"/>
      <c r="H106" s="27"/>
      <c r="I106" s="28"/>
      <c r="J106" s="27"/>
      <c r="M106" s="37"/>
      <c r="N106" s="38"/>
      <c r="O106" s="30"/>
      <c r="P106" s="29"/>
      <c r="Q106" s="12"/>
      <c r="R106" s="12"/>
    </row>
    <row r="107">
      <c r="A107" s="26"/>
      <c r="B107" s="27"/>
      <c r="C107" s="28"/>
      <c r="D107" s="27"/>
      <c r="E107" s="27"/>
      <c r="F107" s="27"/>
      <c r="H107" s="27"/>
      <c r="I107" s="28"/>
      <c r="J107" s="27"/>
      <c r="M107" s="37"/>
      <c r="N107" s="38"/>
      <c r="O107" s="30"/>
      <c r="P107" s="29"/>
      <c r="Q107" s="12"/>
      <c r="R107" s="12"/>
    </row>
    <row r="108">
      <c r="A108" s="26"/>
      <c r="B108" s="27"/>
      <c r="C108" s="28"/>
      <c r="D108" s="27"/>
      <c r="E108" s="27"/>
      <c r="F108" s="27"/>
      <c r="H108" s="27"/>
      <c r="I108" s="28"/>
      <c r="J108" s="27"/>
      <c r="M108" s="37"/>
      <c r="N108" s="38"/>
      <c r="O108" s="30"/>
      <c r="P108" s="29"/>
      <c r="Q108" s="12"/>
      <c r="R108" s="12"/>
    </row>
    <row r="109">
      <c r="A109" s="26"/>
      <c r="B109" s="27"/>
      <c r="C109" s="28"/>
      <c r="D109" s="27"/>
      <c r="E109" s="27"/>
      <c r="F109" s="27"/>
      <c r="H109" s="27"/>
      <c r="I109" s="28"/>
      <c r="J109" s="27"/>
      <c r="M109" s="37"/>
      <c r="N109" s="38"/>
      <c r="O109" s="30"/>
      <c r="P109" s="29"/>
      <c r="Q109" s="12"/>
      <c r="R109" s="12"/>
    </row>
    <row r="110">
      <c r="A110" s="26"/>
      <c r="B110" s="27"/>
      <c r="C110" s="28"/>
      <c r="D110" s="27"/>
      <c r="E110" s="27"/>
      <c r="F110" s="27"/>
      <c r="H110" s="27"/>
      <c r="I110" s="28"/>
      <c r="J110" s="27"/>
      <c r="M110" s="37"/>
      <c r="N110" s="38"/>
      <c r="O110" s="30"/>
      <c r="P110" s="29"/>
      <c r="Q110" s="12"/>
      <c r="R110" s="12"/>
    </row>
    <row r="111">
      <c r="A111" s="26"/>
      <c r="B111" s="27"/>
      <c r="C111" s="28"/>
      <c r="D111" s="27"/>
      <c r="E111" s="27"/>
      <c r="F111" s="27"/>
      <c r="H111" s="27"/>
      <c r="I111" s="28"/>
      <c r="J111" s="27"/>
      <c r="M111" s="37"/>
      <c r="N111" s="38"/>
      <c r="O111" s="30"/>
      <c r="P111" s="29"/>
      <c r="Q111" s="12"/>
      <c r="R111" s="12"/>
    </row>
    <row r="112">
      <c r="A112" s="26"/>
      <c r="B112" s="27"/>
      <c r="C112" s="28"/>
      <c r="D112" s="27"/>
      <c r="E112" s="27"/>
      <c r="F112" s="27"/>
      <c r="H112" s="27"/>
      <c r="I112" s="28"/>
      <c r="J112" s="27"/>
      <c r="M112" s="37"/>
      <c r="N112" s="38"/>
      <c r="O112" s="30"/>
      <c r="P112" s="29"/>
      <c r="Q112" s="12"/>
      <c r="R112" s="12"/>
    </row>
    <row r="113">
      <c r="A113" s="26"/>
      <c r="B113" s="27"/>
      <c r="C113" s="28"/>
      <c r="D113" s="27"/>
      <c r="E113" s="27"/>
      <c r="F113" s="27"/>
      <c r="H113" s="27"/>
      <c r="I113" s="28"/>
      <c r="J113" s="27"/>
      <c r="M113" s="37"/>
      <c r="N113" s="38"/>
      <c r="O113" s="30"/>
      <c r="P113" s="29"/>
      <c r="Q113" s="12"/>
      <c r="R113" s="12"/>
    </row>
    <row r="114">
      <c r="A114" s="26"/>
      <c r="B114" s="27"/>
      <c r="C114" s="28"/>
      <c r="D114" s="27"/>
      <c r="E114" s="27"/>
      <c r="F114" s="27"/>
      <c r="H114" s="27"/>
      <c r="I114" s="28"/>
      <c r="J114" s="27"/>
      <c r="M114" s="37"/>
      <c r="N114" s="38"/>
      <c r="O114" s="30"/>
      <c r="P114" s="29"/>
      <c r="Q114" s="12"/>
      <c r="R114" s="12"/>
    </row>
    <row r="115">
      <c r="A115" s="26"/>
      <c r="B115" s="27"/>
      <c r="C115" s="28"/>
      <c r="D115" s="27"/>
      <c r="E115" s="27"/>
      <c r="F115" s="27"/>
      <c r="H115" s="27"/>
      <c r="I115" s="28"/>
      <c r="J115" s="27"/>
      <c r="M115" s="37"/>
      <c r="N115" s="38"/>
      <c r="O115" s="30"/>
      <c r="P115" s="29"/>
      <c r="Q115" s="12"/>
      <c r="R115" s="12"/>
    </row>
    <row r="116">
      <c r="A116" s="26"/>
      <c r="B116" s="27"/>
      <c r="C116" s="28"/>
      <c r="D116" s="27"/>
      <c r="E116" s="27"/>
      <c r="F116" s="27"/>
      <c r="H116" s="27"/>
      <c r="I116" s="28"/>
      <c r="J116" s="27"/>
      <c r="M116" s="37"/>
      <c r="N116" s="38"/>
      <c r="O116" s="30"/>
      <c r="P116" s="29"/>
      <c r="Q116" s="12"/>
      <c r="R116" s="12"/>
    </row>
    <row r="117">
      <c r="A117" s="26"/>
      <c r="B117" s="27"/>
      <c r="C117" s="28"/>
      <c r="D117" s="27"/>
      <c r="E117" s="27"/>
      <c r="F117" s="27"/>
      <c r="H117" s="27"/>
      <c r="I117" s="28"/>
      <c r="J117" s="27"/>
      <c r="M117" s="37"/>
      <c r="N117" s="38"/>
      <c r="O117" s="30"/>
      <c r="P117" s="29"/>
      <c r="Q117" s="12"/>
      <c r="R117" s="12"/>
    </row>
    <row r="118">
      <c r="A118" s="26"/>
      <c r="B118" s="27"/>
      <c r="C118" s="28"/>
      <c r="D118" s="27"/>
      <c r="E118" s="27"/>
      <c r="F118" s="27"/>
      <c r="H118" s="27"/>
      <c r="I118" s="28"/>
      <c r="J118" s="27"/>
      <c r="M118" s="29"/>
      <c r="N118" s="29"/>
      <c r="O118" s="30"/>
      <c r="P118" s="29"/>
      <c r="Q118" s="12"/>
      <c r="R118" s="12"/>
    </row>
    <row r="119">
      <c r="A119" s="26"/>
      <c r="B119" s="27"/>
      <c r="C119" s="28"/>
      <c r="D119" s="27"/>
      <c r="E119" s="27"/>
      <c r="F119" s="27"/>
      <c r="H119" s="27"/>
      <c r="I119" s="28"/>
      <c r="J119" s="27"/>
      <c r="M119" s="29"/>
      <c r="N119" s="29"/>
      <c r="O119" s="30"/>
      <c r="P119" s="29"/>
      <c r="Q119" s="12"/>
      <c r="R119" s="12"/>
    </row>
    <row r="120">
      <c r="A120" s="26"/>
      <c r="B120" s="27"/>
      <c r="C120" s="28"/>
      <c r="D120" s="27"/>
      <c r="E120" s="27"/>
      <c r="F120" s="27"/>
      <c r="H120" s="27"/>
      <c r="I120" s="28"/>
      <c r="J120" s="27"/>
      <c r="M120" s="29"/>
      <c r="N120" s="29"/>
      <c r="O120" s="30"/>
      <c r="P120" s="29"/>
      <c r="Q120" s="12"/>
      <c r="R120" s="12"/>
    </row>
    <row r="121">
      <c r="A121" s="26"/>
      <c r="B121" s="27"/>
      <c r="C121" s="28"/>
      <c r="D121" s="27"/>
      <c r="E121" s="27"/>
      <c r="F121" s="27"/>
      <c r="H121" s="27"/>
      <c r="I121" s="28"/>
      <c r="J121" s="27"/>
      <c r="M121" s="29"/>
      <c r="N121" s="29"/>
      <c r="O121" s="30"/>
      <c r="P121" s="29"/>
      <c r="Q121" s="12"/>
      <c r="R121" s="12"/>
    </row>
    <row r="122">
      <c r="A122" s="26"/>
      <c r="B122" s="27"/>
      <c r="C122" s="28"/>
      <c r="D122" s="27"/>
      <c r="E122" s="27"/>
      <c r="F122" s="27"/>
      <c r="H122" s="27"/>
      <c r="I122" s="28"/>
      <c r="J122" s="27"/>
      <c r="M122" s="29"/>
      <c r="N122" s="29"/>
      <c r="O122" s="30"/>
      <c r="P122" s="29"/>
      <c r="Q122" s="12"/>
      <c r="R122" s="12"/>
    </row>
    <row r="123">
      <c r="A123" s="26"/>
      <c r="B123" s="27"/>
      <c r="C123" s="28"/>
      <c r="D123" s="27"/>
      <c r="E123" s="27"/>
      <c r="F123" s="27"/>
      <c r="H123" s="27"/>
      <c r="I123" s="28"/>
      <c r="J123" s="27"/>
      <c r="M123" s="29"/>
      <c r="N123" s="29"/>
      <c r="O123" s="30"/>
      <c r="P123" s="29"/>
      <c r="Q123" s="12"/>
      <c r="R123" s="12"/>
    </row>
    <row r="124">
      <c r="A124" s="26"/>
      <c r="B124" s="27"/>
      <c r="C124" s="28"/>
      <c r="D124" s="27"/>
      <c r="E124" s="27"/>
      <c r="F124" s="27"/>
      <c r="H124" s="27"/>
      <c r="I124" s="28"/>
      <c r="J124" s="27"/>
      <c r="M124" s="29"/>
      <c r="N124" s="29"/>
      <c r="O124" s="30"/>
      <c r="P124" s="29"/>
      <c r="Q124" s="12"/>
      <c r="R124" s="12"/>
    </row>
    <row r="125">
      <c r="A125" s="26"/>
      <c r="B125" s="27"/>
      <c r="C125" s="28"/>
      <c r="D125" s="27"/>
      <c r="E125" s="27"/>
      <c r="F125" s="27"/>
      <c r="H125" s="27"/>
      <c r="I125" s="28"/>
      <c r="J125" s="27"/>
      <c r="M125" s="29"/>
      <c r="N125" s="29"/>
      <c r="O125" s="30"/>
      <c r="P125" s="29"/>
      <c r="Q125" s="12"/>
      <c r="R125" s="12"/>
    </row>
    <row r="126">
      <c r="A126" s="26"/>
      <c r="B126" s="27"/>
      <c r="C126" s="28"/>
      <c r="D126" s="27"/>
      <c r="E126" s="27"/>
      <c r="F126" s="27"/>
      <c r="H126" s="27"/>
      <c r="I126" s="28"/>
      <c r="J126" s="27"/>
      <c r="M126" s="29"/>
      <c r="N126" s="29"/>
      <c r="O126" s="30"/>
      <c r="P126" s="29"/>
      <c r="Q126" s="12"/>
      <c r="R126" s="12"/>
    </row>
    <row r="127">
      <c r="A127" s="26"/>
      <c r="B127" s="27"/>
      <c r="C127" s="28"/>
      <c r="D127" s="27"/>
      <c r="E127" s="27"/>
      <c r="F127" s="27"/>
      <c r="H127" s="27"/>
      <c r="I127" s="28"/>
      <c r="J127" s="27"/>
      <c r="M127" s="29"/>
      <c r="N127" s="29"/>
      <c r="O127" s="30"/>
      <c r="P127" s="29"/>
      <c r="Q127" s="12"/>
      <c r="R127" s="12"/>
    </row>
    <row r="128">
      <c r="A128" s="26"/>
      <c r="B128" s="27"/>
      <c r="C128" s="28"/>
      <c r="D128" s="27"/>
      <c r="E128" s="27"/>
      <c r="F128" s="27"/>
      <c r="H128" s="27"/>
      <c r="I128" s="28"/>
      <c r="J128" s="27"/>
      <c r="M128" s="29"/>
      <c r="N128" s="29"/>
      <c r="O128" s="30"/>
      <c r="P128" s="29"/>
      <c r="Q128" s="12"/>
      <c r="R128" s="12"/>
    </row>
    <row r="129">
      <c r="A129" s="26"/>
      <c r="B129" s="27"/>
      <c r="C129" s="28"/>
      <c r="D129" s="27"/>
      <c r="E129" s="27"/>
      <c r="F129" s="27"/>
      <c r="H129" s="27"/>
      <c r="I129" s="28"/>
      <c r="J129" s="27"/>
      <c r="M129" s="29"/>
      <c r="N129" s="29"/>
      <c r="O129" s="30"/>
      <c r="P129" s="29"/>
      <c r="Q129" s="12"/>
      <c r="R129" s="12"/>
    </row>
    <row r="130">
      <c r="A130" s="26"/>
      <c r="B130" s="27"/>
      <c r="C130" s="28"/>
      <c r="D130" s="27"/>
      <c r="E130" s="27"/>
      <c r="F130" s="27"/>
      <c r="H130" s="27"/>
      <c r="I130" s="28"/>
      <c r="J130" s="27"/>
      <c r="M130" s="29"/>
      <c r="N130" s="29"/>
      <c r="O130" s="30"/>
      <c r="P130" s="29"/>
      <c r="Q130" s="12"/>
      <c r="R130" s="12"/>
    </row>
    <row r="131">
      <c r="A131" s="26"/>
      <c r="B131" s="27"/>
      <c r="C131" s="28"/>
      <c r="D131" s="27"/>
      <c r="E131" s="27"/>
      <c r="F131" s="27"/>
      <c r="H131" s="27"/>
      <c r="I131" s="28"/>
      <c r="J131" s="27"/>
      <c r="M131" s="29"/>
      <c r="N131" s="29"/>
      <c r="O131" s="30"/>
      <c r="P131" s="29"/>
      <c r="Q131" s="12"/>
      <c r="R131" s="12"/>
    </row>
    <row r="132">
      <c r="A132" s="26"/>
      <c r="B132" s="27"/>
      <c r="C132" s="28"/>
      <c r="D132" s="27"/>
      <c r="E132" s="27"/>
      <c r="F132" s="27"/>
      <c r="H132" s="27"/>
      <c r="I132" s="28"/>
      <c r="J132" s="27"/>
      <c r="M132" s="29"/>
      <c r="N132" s="29"/>
      <c r="O132" s="30"/>
      <c r="P132" s="29"/>
      <c r="Q132" s="12"/>
      <c r="R132" s="12"/>
    </row>
    <row r="133">
      <c r="A133" s="26"/>
      <c r="B133" s="27"/>
      <c r="C133" s="28"/>
      <c r="D133" s="27"/>
      <c r="E133" s="27"/>
      <c r="F133" s="27"/>
      <c r="H133" s="27"/>
      <c r="I133" s="28"/>
      <c r="J133" s="27"/>
      <c r="M133" s="29"/>
      <c r="N133" s="29"/>
      <c r="O133" s="30"/>
      <c r="P133" s="29"/>
      <c r="Q133" s="12"/>
      <c r="R133" s="12"/>
    </row>
    <row r="134">
      <c r="A134" s="26"/>
      <c r="B134" s="27"/>
      <c r="C134" s="28"/>
      <c r="D134" s="27"/>
      <c r="E134" s="27"/>
      <c r="F134" s="27"/>
      <c r="H134" s="27"/>
      <c r="I134" s="28"/>
      <c r="J134" s="27"/>
      <c r="M134" s="29"/>
      <c r="N134" s="29"/>
      <c r="O134" s="30"/>
      <c r="P134" s="29"/>
      <c r="Q134" s="12"/>
      <c r="R134" s="12"/>
    </row>
    <row r="135">
      <c r="A135" s="26"/>
      <c r="B135" s="27"/>
      <c r="C135" s="28"/>
      <c r="D135" s="27"/>
      <c r="E135" s="27"/>
      <c r="F135" s="27"/>
      <c r="H135" s="27"/>
      <c r="I135" s="28"/>
      <c r="J135" s="27"/>
      <c r="M135" s="29"/>
      <c r="N135" s="29"/>
      <c r="O135" s="30"/>
      <c r="P135" s="29"/>
      <c r="Q135" s="12"/>
      <c r="R135" s="12"/>
    </row>
    <row r="136">
      <c r="A136" s="26"/>
      <c r="B136" s="27"/>
      <c r="C136" s="28"/>
      <c r="D136" s="27"/>
      <c r="E136" s="27"/>
      <c r="F136" s="27"/>
      <c r="H136" s="27"/>
      <c r="I136" s="28"/>
      <c r="J136" s="27"/>
      <c r="M136" s="29"/>
      <c r="N136" s="29"/>
      <c r="O136" s="30"/>
      <c r="P136" s="29"/>
      <c r="Q136" s="12"/>
      <c r="R136" s="12"/>
    </row>
    <row r="137">
      <c r="A137" s="26"/>
      <c r="B137" s="27"/>
      <c r="C137" s="28"/>
      <c r="D137" s="27"/>
      <c r="E137" s="27"/>
      <c r="F137" s="27"/>
      <c r="H137" s="27"/>
      <c r="I137" s="28"/>
      <c r="J137" s="27"/>
      <c r="M137" s="29"/>
      <c r="N137" s="29"/>
      <c r="O137" s="30"/>
      <c r="P137" s="29"/>
      <c r="Q137" s="12"/>
      <c r="R137" s="12"/>
    </row>
    <row r="138">
      <c r="A138" s="26"/>
      <c r="B138" s="27"/>
      <c r="C138" s="28"/>
      <c r="D138" s="27"/>
      <c r="E138" s="27"/>
      <c r="F138" s="27"/>
      <c r="H138" s="27"/>
      <c r="I138" s="28"/>
      <c r="J138" s="27"/>
      <c r="M138" s="29"/>
      <c r="N138" s="29"/>
      <c r="O138" s="30"/>
      <c r="P138" s="29"/>
      <c r="Q138" s="12"/>
      <c r="R138" s="12"/>
    </row>
    <row r="139">
      <c r="A139" s="26"/>
      <c r="B139" s="27"/>
      <c r="C139" s="28"/>
      <c r="D139" s="27"/>
      <c r="E139" s="27"/>
      <c r="F139" s="27"/>
      <c r="H139" s="27"/>
      <c r="I139" s="28"/>
      <c r="J139" s="27"/>
      <c r="M139" s="29"/>
      <c r="N139" s="29"/>
      <c r="O139" s="30"/>
      <c r="P139" s="29"/>
      <c r="Q139" s="12"/>
      <c r="R139" s="12"/>
    </row>
    <row r="140">
      <c r="A140" s="26"/>
      <c r="B140" s="27"/>
      <c r="C140" s="28"/>
      <c r="D140" s="27"/>
      <c r="E140" s="27"/>
      <c r="F140" s="27"/>
      <c r="H140" s="27"/>
      <c r="I140" s="28"/>
      <c r="J140" s="27"/>
      <c r="M140" s="29"/>
      <c r="N140" s="29"/>
      <c r="O140" s="30"/>
      <c r="P140" s="29"/>
      <c r="Q140" s="12"/>
      <c r="R140" s="12"/>
    </row>
    <row r="141">
      <c r="A141" s="26"/>
      <c r="B141" s="27"/>
      <c r="C141" s="28"/>
      <c r="D141" s="27"/>
      <c r="E141" s="27"/>
      <c r="F141" s="27"/>
      <c r="H141" s="27"/>
      <c r="I141" s="28"/>
      <c r="J141" s="27"/>
      <c r="M141" s="29"/>
      <c r="N141" s="29"/>
      <c r="O141" s="30"/>
      <c r="P141" s="29"/>
      <c r="Q141" s="12"/>
      <c r="R141" s="12"/>
    </row>
    <row r="142">
      <c r="A142" s="26"/>
      <c r="B142" s="27"/>
      <c r="C142" s="28"/>
      <c r="D142" s="27"/>
      <c r="E142" s="27"/>
      <c r="F142" s="27"/>
      <c r="H142" s="27"/>
      <c r="I142" s="28"/>
      <c r="J142" s="27"/>
      <c r="M142" s="29"/>
      <c r="N142" s="29"/>
      <c r="O142" s="30"/>
      <c r="P142" s="29"/>
      <c r="Q142" s="12"/>
      <c r="R142" s="12"/>
    </row>
    <row r="143">
      <c r="A143" s="26"/>
      <c r="B143" s="27"/>
      <c r="C143" s="28"/>
      <c r="D143" s="27"/>
      <c r="E143" s="27"/>
      <c r="F143" s="27"/>
      <c r="H143" s="27"/>
      <c r="I143" s="28"/>
      <c r="J143" s="27"/>
      <c r="M143" s="29"/>
      <c r="N143" s="29"/>
      <c r="O143" s="30"/>
      <c r="P143" s="29"/>
      <c r="Q143" s="12"/>
      <c r="R143" s="12"/>
    </row>
    <row r="144">
      <c r="A144" s="26"/>
      <c r="B144" s="27"/>
      <c r="C144" s="28"/>
      <c r="D144" s="27"/>
      <c r="E144" s="27"/>
      <c r="F144" s="27"/>
      <c r="H144" s="27"/>
      <c r="I144" s="28"/>
      <c r="J144" s="27"/>
      <c r="M144" s="29"/>
      <c r="N144" s="29"/>
      <c r="O144" s="30"/>
      <c r="P144" s="29"/>
      <c r="Q144" s="12"/>
      <c r="R144" s="12"/>
    </row>
    <row r="145">
      <c r="A145" s="26"/>
      <c r="B145" s="27"/>
      <c r="C145" s="28"/>
      <c r="D145" s="27"/>
      <c r="E145" s="27"/>
      <c r="F145" s="27"/>
      <c r="H145" s="27"/>
      <c r="I145" s="28"/>
      <c r="J145" s="27"/>
      <c r="M145" s="29"/>
      <c r="N145" s="29"/>
      <c r="O145" s="30"/>
      <c r="P145" s="29"/>
      <c r="Q145" s="12"/>
      <c r="R145" s="12"/>
    </row>
    <row r="146">
      <c r="A146" s="26"/>
      <c r="B146" s="27"/>
      <c r="C146" s="28"/>
      <c r="D146" s="27"/>
      <c r="E146" s="27"/>
      <c r="F146" s="27"/>
      <c r="H146" s="27"/>
      <c r="I146" s="28"/>
      <c r="J146" s="27"/>
      <c r="M146" s="29"/>
      <c r="N146" s="29"/>
      <c r="O146" s="30"/>
      <c r="P146" s="29"/>
      <c r="Q146" s="12"/>
      <c r="R146" s="12"/>
    </row>
    <row r="147">
      <c r="A147" s="26"/>
      <c r="B147" s="27"/>
      <c r="C147" s="28"/>
      <c r="D147" s="27"/>
      <c r="E147" s="27"/>
      <c r="F147" s="27"/>
      <c r="H147" s="27"/>
      <c r="I147" s="28"/>
      <c r="J147" s="27"/>
      <c r="M147" s="29"/>
      <c r="N147" s="29"/>
      <c r="O147" s="30"/>
      <c r="P147" s="29"/>
      <c r="Q147" s="12"/>
      <c r="R147" s="12"/>
    </row>
    <row r="148">
      <c r="A148" s="26"/>
      <c r="B148" s="27"/>
      <c r="C148" s="28"/>
      <c r="D148" s="27"/>
      <c r="E148" s="27"/>
      <c r="F148" s="27"/>
      <c r="H148" s="27"/>
      <c r="I148" s="28"/>
      <c r="J148" s="27"/>
      <c r="M148" s="29"/>
      <c r="N148" s="29"/>
      <c r="O148" s="30"/>
      <c r="P148" s="29"/>
      <c r="Q148" s="12"/>
      <c r="R148" s="12"/>
    </row>
    <row r="149">
      <c r="A149" s="26"/>
      <c r="B149" s="27"/>
      <c r="C149" s="28"/>
      <c r="D149" s="27"/>
      <c r="E149" s="27"/>
      <c r="F149" s="27"/>
      <c r="H149" s="27"/>
      <c r="I149" s="28"/>
      <c r="J149" s="27"/>
      <c r="M149" s="29"/>
      <c r="N149" s="29"/>
      <c r="O149" s="30"/>
      <c r="P149" s="29"/>
      <c r="Q149" s="12"/>
      <c r="R149" s="12"/>
    </row>
    <row r="150">
      <c r="A150" s="26"/>
      <c r="B150" s="27"/>
      <c r="C150" s="28"/>
      <c r="D150" s="27"/>
      <c r="E150" s="27"/>
      <c r="F150" s="27"/>
      <c r="H150" s="27"/>
      <c r="I150" s="28"/>
      <c r="J150" s="27"/>
      <c r="M150" s="29"/>
      <c r="N150" s="29"/>
      <c r="O150" s="30"/>
      <c r="P150" s="29"/>
      <c r="Q150" s="12"/>
      <c r="R150" s="12"/>
    </row>
    <row r="151">
      <c r="A151" s="26"/>
      <c r="B151" s="27"/>
      <c r="C151" s="28"/>
      <c r="D151" s="27"/>
      <c r="E151" s="27"/>
      <c r="F151" s="27"/>
      <c r="H151" s="27"/>
      <c r="I151" s="28"/>
      <c r="J151" s="27"/>
      <c r="M151" s="29"/>
      <c r="N151" s="29"/>
      <c r="O151" s="30"/>
      <c r="P151" s="29"/>
      <c r="Q151" s="12"/>
      <c r="R151" s="12"/>
    </row>
    <row r="152">
      <c r="A152" s="26"/>
      <c r="B152" s="27"/>
      <c r="C152" s="28"/>
      <c r="D152" s="27"/>
      <c r="E152" s="27"/>
      <c r="F152" s="27"/>
      <c r="H152" s="27"/>
      <c r="I152" s="28"/>
      <c r="J152" s="27"/>
      <c r="M152" s="29"/>
      <c r="N152" s="29"/>
      <c r="O152" s="30"/>
      <c r="P152" s="29"/>
      <c r="Q152" s="12"/>
      <c r="R152" s="12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76.88"/>
  </cols>
  <sheetData>
    <row r="1" ht="22.5" customHeight="1">
      <c r="A1" s="16" t="s">
        <v>97</v>
      </c>
      <c r="B1" s="17" t="s">
        <v>113</v>
      </c>
    </row>
    <row r="2" ht="22.5" customHeight="1">
      <c r="A2" s="39">
        <v>1.0</v>
      </c>
      <c r="B2" s="40" t="s">
        <v>77</v>
      </c>
    </row>
    <row r="3" ht="22.5" customHeight="1">
      <c r="A3" s="39">
        <v>1.0</v>
      </c>
      <c r="B3" s="40" t="s">
        <v>51</v>
      </c>
    </row>
    <row r="4" ht="22.5" customHeight="1">
      <c r="A4" s="39">
        <v>1.0</v>
      </c>
      <c r="B4" s="40" t="s">
        <v>71</v>
      </c>
    </row>
    <row r="5" ht="22.5" customHeight="1">
      <c r="A5" s="39">
        <v>1.0</v>
      </c>
      <c r="B5" s="40" t="s">
        <v>114</v>
      </c>
    </row>
    <row r="6" ht="22.5" customHeight="1">
      <c r="A6" s="39">
        <v>1.0</v>
      </c>
      <c r="B6" s="40" t="s">
        <v>115</v>
      </c>
    </row>
    <row r="7" ht="22.5" customHeight="1">
      <c r="A7" s="39">
        <v>2.0</v>
      </c>
      <c r="B7" s="40" t="s">
        <v>77</v>
      </c>
    </row>
    <row r="8" ht="22.5" customHeight="1">
      <c r="A8" s="39">
        <v>2.0</v>
      </c>
      <c r="B8" s="40" t="s">
        <v>51</v>
      </c>
    </row>
    <row r="9" ht="22.5" customHeight="1">
      <c r="A9" s="39">
        <v>2.0</v>
      </c>
      <c r="B9" s="40" t="s">
        <v>115</v>
      </c>
    </row>
    <row r="10" ht="22.5" customHeight="1">
      <c r="A10" s="39">
        <v>2.0</v>
      </c>
      <c r="B10" s="40" t="s">
        <v>116</v>
      </c>
    </row>
    <row r="11" ht="22.5" customHeight="1">
      <c r="A11" s="39">
        <v>2.0</v>
      </c>
      <c r="B11" s="40" t="s">
        <v>117</v>
      </c>
    </row>
    <row r="12" ht="22.5" customHeight="1">
      <c r="A12" s="39">
        <v>3.0</v>
      </c>
      <c r="B12" s="40" t="s">
        <v>77</v>
      </c>
    </row>
    <row r="13" ht="22.5" customHeight="1">
      <c r="A13" s="39">
        <v>3.0</v>
      </c>
      <c r="B13" s="40" t="s">
        <v>51</v>
      </c>
    </row>
    <row r="14" ht="22.5" customHeight="1">
      <c r="A14" s="39">
        <v>3.0</v>
      </c>
      <c r="B14" s="40" t="s">
        <v>118</v>
      </c>
    </row>
    <row r="15" ht="22.5" customHeight="1">
      <c r="A15" s="39">
        <v>4.0</v>
      </c>
      <c r="B15" s="40" t="s">
        <v>77</v>
      </c>
    </row>
    <row r="16" ht="22.5" customHeight="1">
      <c r="A16" s="39">
        <v>4.0</v>
      </c>
      <c r="B16" s="40" t="s">
        <v>51</v>
      </c>
    </row>
    <row r="17" ht="22.5" customHeight="1">
      <c r="A17" s="39">
        <v>4.0</v>
      </c>
      <c r="B17" s="40" t="s">
        <v>71</v>
      </c>
    </row>
    <row r="18" ht="22.5" customHeight="1">
      <c r="A18" s="39">
        <v>5.0</v>
      </c>
      <c r="B18" s="40" t="s">
        <v>51</v>
      </c>
    </row>
    <row r="19" ht="22.5" customHeight="1">
      <c r="A19" s="39">
        <v>5.0</v>
      </c>
      <c r="B19" s="40" t="s">
        <v>71</v>
      </c>
    </row>
    <row r="20" ht="22.5" customHeight="1">
      <c r="A20" s="39">
        <v>6.0</v>
      </c>
      <c r="B20" s="40" t="s">
        <v>77</v>
      </c>
    </row>
    <row r="21" ht="22.5" customHeight="1">
      <c r="A21" s="39">
        <v>6.0</v>
      </c>
      <c r="B21" s="40" t="s">
        <v>51</v>
      </c>
    </row>
    <row r="22" ht="22.5" customHeight="1">
      <c r="A22" s="39">
        <v>6.0</v>
      </c>
      <c r="B22" s="40" t="s">
        <v>117</v>
      </c>
    </row>
    <row r="23" ht="22.5" customHeight="1">
      <c r="A23" s="39">
        <v>7.0</v>
      </c>
      <c r="B23" s="40" t="s">
        <v>77</v>
      </c>
    </row>
    <row r="24" ht="22.5" customHeight="1">
      <c r="A24" s="39">
        <v>7.0</v>
      </c>
      <c r="B24" s="40" t="s">
        <v>51</v>
      </c>
    </row>
    <row r="25" ht="22.5" customHeight="1">
      <c r="A25" s="39">
        <v>7.0</v>
      </c>
      <c r="B25" s="40" t="s">
        <v>71</v>
      </c>
    </row>
    <row r="26" ht="22.5" customHeight="1">
      <c r="A26" s="39">
        <v>7.0</v>
      </c>
      <c r="B26" s="40" t="s">
        <v>114</v>
      </c>
    </row>
    <row r="27" ht="22.5" customHeight="1">
      <c r="A27" s="39">
        <v>7.0</v>
      </c>
      <c r="B27" s="40" t="s">
        <v>117</v>
      </c>
    </row>
    <row r="28" ht="22.5" customHeight="1">
      <c r="A28" s="39">
        <v>8.0</v>
      </c>
      <c r="B28" s="40" t="s">
        <v>77</v>
      </c>
    </row>
    <row r="29" ht="22.5" customHeight="1">
      <c r="A29" s="39">
        <v>8.0</v>
      </c>
      <c r="B29" s="40" t="s">
        <v>71</v>
      </c>
    </row>
    <row r="30" ht="22.5" customHeight="1">
      <c r="A30" s="39">
        <v>9.0</v>
      </c>
      <c r="B30" s="40" t="s">
        <v>77</v>
      </c>
    </row>
    <row r="31" ht="22.5" customHeight="1">
      <c r="A31" s="39">
        <v>9.0</v>
      </c>
      <c r="B31" s="40" t="s">
        <v>115</v>
      </c>
    </row>
    <row r="32" ht="22.5" customHeight="1">
      <c r="A32" s="39">
        <v>9.0</v>
      </c>
      <c r="B32" s="40" t="s">
        <v>116</v>
      </c>
    </row>
    <row r="33" ht="22.5" customHeight="1">
      <c r="A33" s="39">
        <v>10.0</v>
      </c>
      <c r="B33" s="40" t="s">
        <v>51</v>
      </c>
    </row>
    <row r="34" ht="22.5" customHeight="1">
      <c r="A34" s="39">
        <v>11.0</v>
      </c>
      <c r="B34" s="40" t="s">
        <v>77</v>
      </c>
    </row>
    <row r="35" ht="22.5" customHeight="1">
      <c r="A35" s="39">
        <v>11.0</v>
      </c>
      <c r="B35" s="40" t="s">
        <v>51</v>
      </c>
    </row>
    <row r="36" ht="22.5" customHeight="1">
      <c r="A36" s="39">
        <v>11.0</v>
      </c>
      <c r="B36" s="40" t="s">
        <v>71</v>
      </c>
    </row>
    <row r="37" ht="22.5" customHeight="1">
      <c r="A37" s="39">
        <v>12.0</v>
      </c>
      <c r="B37" s="40" t="s">
        <v>77</v>
      </c>
    </row>
    <row r="38" ht="22.5" customHeight="1">
      <c r="A38" s="39">
        <v>12.0</v>
      </c>
      <c r="B38" s="40" t="s">
        <v>51</v>
      </c>
    </row>
    <row r="39" ht="22.5" customHeight="1">
      <c r="A39" s="39">
        <v>12.0</v>
      </c>
      <c r="B39" s="40" t="s">
        <v>116</v>
      </c>
    </row>
    <row r="40" ht="22.5" customHeight="1">
      <c r="A40" s="39">
        <v>12.0</v>
      </c>
      <c r="B40" s="40" t="s">
        <v>117</v>
      </c>
    </row>
    <row r="41" ht="22.5" customHeight="1">
      <c r="A41" s="39">
        <v>13.0</v>
      </c>
      <c r="B41" s="40" t="s">
        <v>51</v>
      </c>
    </row>
    <row r="42" ht="22.5" customHeight="1">
      <c r="A42" s="39">
        <v>14.0</v>
      </c>
      <c r="B42" s="40" t="s">
        <v>51</v>
      </c>
    </row>
    <row r="43" ht="22.5" customHeight="1">
      <c r="A43" s="39">
        <v>14.0</v>
      </c>
      <c r="B43" s="40" t="s">
        <v>119</v>
      </c>
    </row>
    <row r="44" ht="22.5" customHeight="1">
      <c r="A44" s="39">
        <v>15.0</v>
      </c>
      <c r="B44" s="40" t="s">
        <v>77</v>
      </c>
    </row>
    <row r="45" ht="22.5" customHeight="1">
      <c r="A45" s="39">
        <v>15.0</v>
      </c>
      <c r="B45" s="40" t="s">
        <v>51</v>
      </c>
    </row>
    <row r="46" ht="22.5" customHeight="1">
      <c r="A46" s="39">
        <v>16.0</v>
      </c>
      <c r="B46" s="40" t="s">
        <v>77</v>
      </c>
    </row>
    <row r="47" ht="22.5" customHeight="1">
      <c r="A47" s="39">
        <v>16.0</v>
      </c>
      <c r="B47" s="40" t="s">
        <v>51</v>
      </c>
    </row>
    <row r="48" ht="22.5" customHeight="1">
      <c r="A48" s="39">
        <v>16.0</v>
      </c>
      <c r="B48" s="40" t="s">
        <v>114</v>
      </c>
    </row>
    <row r="49" ht="22.5" customHeight="1">
      <c r="A49" s="39">
        <v>17.0</v>
      </c>
      <c r="B49" s="40" t="s">
        <v>77</v>
      </c>
    </row>
    <row r="50" ht="22.5" customHeight="1">
      <c r="A50" s="39">
        <v>17.0</v>
      </c>
      <c r="B50" s="40" t="s">
        <v>114</v>
      </c>
    </row>
    <row r="51" ht="22.5" customHeight="1">
      <c r="A51" s="39">
        <v>17.0</v>
      </c>
      <c r="B51" s="40" t="s">
        <v>115</v>
      </c>
    </row>
    <row r="52" ht="22.5" customHeight="1">
      <c r="A52" s="39">
        <v>18.0</v>
      </c>
      <c r="B52" s="40" t="s">
        <v>117</v>
      </c>
    </row>
    <row r="53" ht="22.5" customHeight="1">
      <c r="A53" s="39">
        <v>18.0</v>
      </c>
      <c r="B53" s="40" t="s">
        <v>120</v>
      </c>
    </row>
    <row r="54" ht="22.5" customHeight="1">
      <c r="A54" s="39">
        <v>19.0</v>
      </c>
      <c r="B54" s="40" t="s">
        <v>51</v>
      </c>
    </row>
    <row r="55" ht="22.5" customHeight="1">
      <c r="A55" s="39">
        <v>19.0</v>
      </c>
      <c r="B55" s="40" t="s">
        <v>71</v>
      </c>
    </row>
    <row r="56" ht="22.5" customHeight="1">
      <c r="A56" s="39">
        <v>19.0</v>
      </c>
      <c r="B56" s="40" t="s">
        <v>116</v>
      </c>
    </row>
    <row r="57" ht="22.5" customHeight="1">
      <c r="A57" s="39">
        <v>20.0</v>
      </c>
      <c r="B57" s="40" t="s">
        <v>51</v>
      </c>
    </row>
    <row r="58" ht="22.5" customHeight="1">
      <c r="A58" s="39">
        <v>20.0</v>
      </c>
      <c r="B58" s="40" t="s">
        <v>71</v>
      </c>
    </row>
    <row r="59" ht="22.5" customHeight="1">
      <c r="A59" s="39">
        <v>21.0</v>
      </c>
      <c r="B59" s="40" t="s">
        <v>77</v>
      </c>
    </row>
    <row r="60" ht="22.5" customHeight="1">
      <c r="A60" s="39">
        <v>21.0</v>
      </c>
      <c r="B60" s="40" t="s">
        <v>51</v>
      </c>
    </row>
    <row r="61" ht="22.5" customHeight="1">
      <c r="A61" s="39">
        <v>21.0</v>
      </c>
      <c r="B61" s="40" t="s">
        <v>116</v>
      </c>
    </row>
    <row r="62" ht="22.5" customHeight="1">
      <c r="A62" s="39">
        <v>21.0</v>
      </c>
      <c r="B62" s="40" t="s">
        <v>117</v>
      </c>
    </row>
    <row r="63" ht="22.5" customHeight="1">
      <c r="A63" s="39">
        <v>22.0</v>
      </c>
      <c r="B63" s="40" t="s">
        <v>77</v>
      </c>
    </row>
    <row r="64" ht="22.5" customHeight="1">
      <c r="A64" s="39">
        <v>22.0</v>
      </c>
      <c r="B64" s="40" t="s">
        <v>51</v>
      </c>
    </row>
    <row r="65" ht="22.5" customHeight="1">
      <c r="A65" s="39">
        <v>22.0</v>
      </c>
      <c r="B65" s="40" t="s">
        <v>117</v>
      </c>
    </row>
    <row r="66" ht="22.5" customHeight="1">
      <c r="A66" s="39">
        <v>23.0</v>
      </c>
      <c r="B66" s="40" t="s">
        <v>77</v>
      </c>
    </row>
    <row r="67" ht="22.5" customHeight="1">
      <c r="A67" s="39">
        <v>23.0</v>
      </c>
      <c r="B67" s="40" t="s">
        <v>51</v>
      </c>
    </row>
    <row r="68" ht="22.5" customHeight="1">
      <c r="A68" s="39">
        <v>23.0</v>
      </c>
      <c r="B68" s="40" t="s">
        <v>115</v>
      </c>
    </row>
    <row r="69" ht="22.5" customHeight="1">
      <c r="A69" s="39">
        <v>24.0</v>
      </c>
      <c r="B69" s="40" t="s">
        <v>77</v>
      </c>
    </row>
    <row r="70" ht="22.5" customHeight="1">
      <c r="A70" s="39">
        <v>24.0</v>
      </c>
      <c r="B70" s="40" t="s">
        <v>51</v>
      </c>
    </row>
    <row r="71" ht="22.5" customHeight="1">
      <c r="A71" s="39">
        <v>24.0</v>
      </c>
      <c r="B71" s="40" t="s">
        <v>71</v>
      </c>
    </row>
    <row r="72" ht="22.5" customHeight="1">
      <c r="A72" s="39">
        <v>24.0</v>
      </c>
      <c r="B72" s="40" t="s">
        <v>115</v>
      </c>
    </row>
    <row r="73" ht="22.5" customHeight="1">
      <c r="A73" s="39">
        <v>24.0</v>
      </c>
      <c r="B73" s="40" t="s">
        <v>116</v>
      </c>
    </row>
    <row r="74" ht="22.5" customHeight="1">
      <c r="A74" s="39">
        <v>25.0</v>
      </c>
      <c r="B74" s="40" t="s">
        <v>77</v>
      </c>
    </row>
    <row r="75" ht="22.5" customHeight="1">
      <c r="A75" s="39">
        <v>25.0</v>
      </c>
      <c r="B75" s="40" t="s">
        <v>51</v>
      </c>
    </row>
    <row r="76" ht="22.5" customHeight="1">
      <c r="A76" s="39">
        <v>25.0</v>
      </c>
      <c r="B76" s="40" t="s">
        <v>71</v>
      </c>
    </row>
    <row r="77" ht="22.5" customHeight="1">
      <c r="A77" s="39">
        <v>26.0</v>
      </c>
      <c r="B77" s="40" t="s">
        <v>77</v>
      </c>
    </row>
    <row r="78" ht="22.5" customHeight="1">
      <c r="A78" s="39">
        <v>26.0</v>
      </c>
      <c r="B78" s="40" t="s">
        <v>71</v>
      </c>
    </row>
    <row r="79" ht="22.5" customHeight="1">
      <c r="A79" s="39">
        <v>27.0</v>
      </c>
      <c r="B79" s="40" t="s">
        <v>77</v>
      </c>
    </row>
    <row r="80" ht="22.5" customHeight="1">
      <c r="A80" s="39">
        <v>27.0</v>
      </c>
      <c r="B80" s="40" t="s">
        <v>51</v>
      </c>
    </row>
    <row r="81" ht="22.5" customHeight="1">
      <c r="A81" s="39">
        <v>27.0</v>
      </c>
      <c r="B81" s="40" t="s">
        <v>71</v>
      </c>
    </row>
    <row r="82" ht="22.5" customHeight="1">
      <c r="A82" s="39">
        <v>28.0</v>
      </c>
      <c r="B82" s="40" t="s">
        <v>77</v>
      </c>
    </row>
    <row r="83" ht="22.5" customHeight="1">
      <c r="A83" s="39">
        <v>28.0</v>
      </c>
      <c r="B83" s="40" t="s">
        <v>71</v>
      </c>
    </row>
    <row r="84" ht="22.5" customHeight="1">
      <c r="A84" s="39">
        <v>29.0</v>
      </c>
      <c r="B84" s="40" t="s">
        <v>77</v>
      </c>
    </row>
    <row r="85" ht="22.5" customHeight="1">
      <c r="A85" s="39">
        <v>29.0</v>
      </c>
      <c r="B85" s="40" t="s">
        <v>71</v>
      </c>
    </row>
    <row r="86" ht="22.5" customHeight="1">
      <c r="A86" s="39">
        <v>29.0</v>
      </c>
      <c r="B86" s="40" t="s">
        <v>114</v>
      </c>
    </row>
    <row r="87" ht="22.5" customHeight="1">
      <c r="A87" s="39">
        <v>30.0</v>
      </c>
      <c r="B87" s="40" t="s">
        <v>77</v>
      </c>
    </row>
    <row r="88" ht="22.5" customHeight="1">
      <c r="A88" s="39">
        <v>30.0</v>
      </c>
      <c r="B88" s="40" t="s">
        <v>71</v>
      </c>
    </row>
    <row r="89" ht="22.5" customHeight="1">
      <c r="A89" s="39">
        <v>31.0</v>
      </c>
      <c r="B89" s="40" t="s">
        <v>115</v>
      </c>
    </row>
    <row r="90" ht="22.5" customHeight="1">
      <c r="A90" s="39">
        <v>31.0</v>
      </c>
      <c r="B90" s="40" t="s">
        <v>116</v>
      </c>
    </row>
    <row r="91" ht="22.5" customHeight="1">
      <c r="A91" s="39">
        <v>32.0</v>
      </c>
      <c r="B91" s="40" t="s">
        <v>71</v>
      </c>
    </row>
    <row r="92" ht="22.5" customHeight="1">
      <c r="A92" s="39">
        <v>33.0</v>
      </c>
      <c r="B92" s="40" t="s">
        <v>77</v>
      </c>
    </row>
    <row r="93" ht="22.5" customHeight="1">
      <c r="A93" s="39">
        <v>33.0</v>
      </c>
      <c r="B93" s="40" t="s">
        <v>51</v>
      </c>
    </row>
    <row r="94" ht="22.5" customHeight="1">
      <c r="A94" s="39">
        <v>34.0</v>
      </c>
      <c r="B94" s="40" t="s">
        <v>77</v>
      </c>
    </row>
    <row r="95" ht="22.5" customHeight="1">
      <c r="A95" s="39">
        <v>34.0</v>
      </c>
      <c r="B95" s="40" t="s">
        <v>51</v>
      </c>
    </row>
    <row r="96" ht="22.5" customHeight="1">
      <c r="A96" s="39">
        <v>35.0</v>
      </c>
      <c r="B96" s="40" t="s">
        <v>77</v>
      </c>
    </row>
    <row r="97" ht="22.5" customHeight="1">
      <c r="A97" s="39">
        <v>35.0</v>
      </c>
      <c r="B97" s="40" t="s">
        <v>121</v>
      </c>
    </row>
    <row r="98" ht="22.5" customHeight="1">
      <c r="A98" s="39">
        <v>36.0</v>
      </c>
      <c r="B98" s="40" t="s">
        <v>77</v>
      </c>
    </row>
    <row r="99" ht="22.5" customHeight="1">
      <c r="A99" s="39">
        <v>36.0</v>
      </c>
      <c r="B99" s="40" t="s">
        <v>51</v>
      </c>
    </row>
    <row r="100" ht="22.5" customHeight="1">
      <c r="A100" s="39">
        <v>37.0</v>
      </c>
      <c r="B100" s="40" t="s">
        <v>74</v>
      </c>
    </row>
    <row r="101" ht="22.5" customHeight="1">
      <c r="A101" s="39">
        <v>38.0</v>
      </c>
      <c r="B101" s="40" t="s">
        <v>114</v>
      </c>
    </row>
    <row r="102" ht="22.5" customHeight="1">
      <c r="A102" s="39">
        <v>38.0</v>
      </c>
      <c r="B102" s="40" t="s">
        <v>117</v>
      </c>
    </row>
    <row r="103" ht="22.5" customHeight="1">
      <c r="A103" s="39">
        <v>39.0</v>
      </c>
      <c r="B103" s="40" t="s">
        <v>77</v>
      </c>
    </row>
    <row r="104" ht="22.5" customHeight="1">
      <c r="A104" s="39">
        <v>39.0</v>
      </c>
      <c r="B104" s="40" t="s">
        <v>51</v>
      </c>
    </row>
    <row r="105" ht="22.5" customHeight="1">
      <c r="A105" s="39">
        <v>39.0</v>
      </c>
      <c r="B105" s="40" t="s">
        <v>117</v>
      </c>
    </row>
    <row r="106" ht="22.5" customHeight="1">
      <c r="A106" s="39">
        <v>40.0</v>
      </c>
      <c r="B106" s="40" t="s">
        <v>77</v>
      </c>
    </row>
    <row r="107" ht="22.5" customHeight="1">
      <c r="A107" s="39">
        <v>41.0</v>
      </c>
      <c r="B107" s="40" t="s">
        <v>51</v>
      </c>
    </row>
    <row r="108" ht="22.5" customHeight="1">
      <c r="A108" s="39">
        <v>41.0</v>
      </c>
      <c r="B108" s="40" t="s">
        <v>116</v>
      </c>
    </row>
    <row r="109" ht="22.5" customHeight="1">
      <c r="A109" s="39">
        <v>42.0</v>
      </c>
      <c r="B109" s="40" t="s">
        <v>77</v>
      </c>
    </row>
    <row r="110" ht="22.5" customHeight="1">
      <c r="A110" s="39">
        <v>42.0</v>
      </c>
      <c r="B110" s="40" t="s">
        <v>51</v>
      </c>
    </row>
    <row r="111" ht="22.5" customHeight="1">
      <c r="A111" s="39">
        <v>42.0</v>
      </c>
      <c r="B111" s="40" t="s">
        <v>117</v>
      </c>
    </row>
    <row r="112" ht="22.5" customHeight="1">
      <c r="A112" s="39">
        <v>43.0</v>
      </c>
      <c r="B112" s="40" t="s">
        <v>77</v>
      </c>
    </row>
    <row r="113" ht="22.5" customHeight="1">
      <c r="A113" s="39">
        <v>43.0</v>
      </c>
      <c r="B113" s="40" t="s">
        <v>51</v>
      </c>
    </row>
    <row r="114" ht="22.5" customHeight="1">
      <c r="A114" s="39">
        <v>43.0</v>
      </c>
      <c r="B114" s="40" t="s">
        <v>116</v>
      </c>
    </row>
    <row r="115" ht="22.5" customHeight="1">
      <c r="A115" s="39">
        <v>43.0</v>
      </c>
      <c r="B115" s="40" t="s">
        <v>117</v>
      </c>
    </row>
    <row r="116" ht="22.5" customHeight="1">
      <c r="A116" s="39">
        <v>44.0</v>
      </c>
      <c r="B116" s="40" t="s">
        <v>77</v>
      </c>
    </row>
    <row r="117" ht="22.5" customHeight="1">
      <c r="A117" s="39">
        <v>44.0</v>
      </c>
      <c r="B117" s="40" t="s">
        <v>51</v>
      </c>
    </row>
    <row r="118" ht="22.5" customHeight="1">
      <c r="A118" s="39">
        <v>44.0</v>
      </c>
      <c r="B118" s="40" t="s">
        <v>71</v>
      </c>
    </row>
    <row r="119" ht="22.5" customHeight="1">
      <c r="A119" s="39">
        <v>44.0</v>
      </c>
      <c r="B119" s="40" t="s">
        <v>114</v>
      </c>
    </row>
    <row r="120" ht="22.5" customHeight="1">
      <c r="A120" s="39">
        <v>44.0</v>
      </c>
      <c r="B120" s="40" t="s">
        <v>115</v>
      </c>
    </row>
    <row r="121" ht="22.5" customHeight="1">
      <c r="A121" s="39">
        <v>44.0</v>
      </c>
      <c r="B121" s="40" t="s">
        <v>116</v>
      </c>
    </row>
    <row r="122" ht="22.5" customHeight="1">
      <c r="A122" s="39">
        <v>45.0</v>
      </c>
      <c r="B122" s="40" t="s">
        <v>77</v>
      </c>
    </row>
    <row r="123" ht="22.5" customHeight="1">
      <c r="A123" s="39">
        <v>45.0</v>
      </c>
      <c r="B123" s="40" t="s">
        <v>51</v>
      </c>
    </row>
    <row r="124" ht="22.5" customHeight="1">
      <c r="A124" s="39">
        <v>46.0</v>
      </c>
      <c r="B124" s="40" t="s">
        <v>51</v>
      </c>
    </row>
    <row r="125" ht="22.5" customHeight="1">
      <c r="A125" s="39">
        <v>46.0</v>
      </c>
      <c r="B125" s="40" t="s">
        <v>116</v>
      </c>
    </row>
    <row r="126" ht="22.5" customHeight="1">
      <c r="A126" s="39">
        <v>47.0</v>
      </c>
      <c r="B126" s="40" t="s">
        <v>71</v>
      </c>
    </row>
    <row r="127" ht="22.5" customHeight="1">
      <c r="A127" s="39">
        <v>47.0</v>
      </c>
      <c r="B127" s="40" t="s">
        <v>117</v>
      </c>
    </row>
    <row r="128" ht="22.5" customHeight="1">
      <c r="A128" s="39">
        <v>48.0</v>
      </c>
      <c r="B128" s="40" t="s">
        <v>51</v>
      </c>
    </row>
    <row r="129" ht="22.5" customHeight="1">
      <c r="A129" s="39">
        <v>48.0</v>
      </c>
      <c r="B129" s="40" t="s">
        <v>114</v>
      </c>
    </row>
    <row r="130" ht="22.5" customHeight="1">
      <c r="A130" s="39">
        <v>48.0</v>
      </c>
      <c r="B130" s="40" t="s">
        <v>118</v>
      </c>
    </row>
    <row r="131" ht="22.5" customHeight="1">
      <c r="A131" s="39">
        <v>49.0</v>
      </c>
      <c r="B131" s="40" t="s">
        <v>77</v>
      </c>
    </row>
    <row r="132" ht="22.5" customHeight="1">
      <c r="A132" s="39">
        <v>49.0</v>
      </c>
      <c r="B132" s="40" t="s">
        <v>51</v>
      </c>
    </row>
    <row r="133" ht="22.5" customHeight="1">
      <c r="A133" s="39">
        <v>49.0</v>
      </c>
      <c r="B133" s="40" t="s">
        <v>71</v>
      </c>
    </row>
    <row r="134" ht="22.5" customHeight="1">
      <c r="A134" s="39">
        <v>50.0</v>
      </c>
      <c r="B134" s="40" t="s">
        <v>51</v>
      </c>
    </row>
    <row r="135" ht="22.5" customHeight="1">
      <c r="A135" s="39">
        <v>50.0</v>
      </c>
      <c r="B135" s="40" t="s">
        <v>122</v>
      </c>
    </row>
    <row r="136" ht="22.5" customHeight="1">
      <c r="A136" s="39">
        <v>51.0</v>
      </c>
      <c r="B136" s="40" t="s">
        <v>51</v>
      </c>
    </row>
    <row r="137" ht="22.5" customHeight="1">
      <c r="A137" s="39">
        <v>51.0</v>
      </c>
      <c r="B137" s="40" t="s">
        <v>114</v>
      </c>
    </row>
    <row r="138">
      <c r="A138" s="26"/>
      <c r="B138" s="27"/>
    </row>
    <row r="139">
      <c r="A139" s="26"/>
      <c r="B139" s="27"/>
    </row>
    <row r="140">
      <c r="A140" s="26"/>
      <c r="B140" s="27"/>
    </row>
    <row r="141">
      <c r="A141" s="26"/>
      <c r="B141" s="27"/>
    </row>
    <row r="142">
      <c r="A142" s="26"/>
      <c r="B142" s="27"/>
    </row>
    <row r="143">
      <c r="A143" s="26"/>
      <c r="B143" s="27"/>
    </row>
    <row r="144">
      <c r="A144" s="26"/>
      <c r="B144" s="27"/>
    </row>
    <row r="145">
      <c r="A145" s="26"/>
      <c r="B145" s="27"/>
    </row>
    <row r="146">
      <c r="A146" s="26"/>
      <c r="B146" s="27"/>
    </row>
    <row r="147">
      <c r="A147" s="26"/>
      <c r="B147" s="2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22.0"/>
    <col customWidth="1" min="3" max="7" width="9.38"/>
    <col customWidth="1" min="8" max="26" width="19.25"/>
  </cols>
  <sheetData>
    <row r="2">
      <c r="B2" s="41" t="s">
        <v>123</v>
      </c>
      <c r="C2" s="42" t="s">
        <v>124</v>
      </c>
      <c r="D2" s="42" t="s">
        <v>125</v>
      </c>
      <c r="E2" s="42" t="s">
        <v>126</v>
      </c>
      <c r="F2" s="42" t="s">
        <v>127</v>
      </c>
      <c r="G2" s="43" t="s">
        <v>128</v>
      </c>
    </row>
    <row r="3">
      <c r="B3" s="44" t="s">
        <v>104</v>
      </c>
      <c r="C3" s="45">
        <f t="array" ref="C3">AVERAGE(CHOOSECOLS(clean_workout_data[[#ALL],[Focus Score]:[General Impact Score]],MATCH($B3,clean_workout_data[[#HEADERS],[Focus Score]:[General Impact Score]],0)))</f>
        <v>3.950980392</v>
      </c>
      <c r="D3" s="46">
        <f t="array" ref="D3">MEDIAN(CHOOSECOLS(clean_workout_data[[#ALL],[Focus Score]:[General Impact Score]],MATCH($B3,clean_workout_data[[#HEADERS],[Focus Score]:[General Impact Score]],0)))</f>
        <v>4</v>
      </c>
      <c r="E3" s="46">
        <f t="array" ref="E3">MIN(CHOOSECOLS(clean_workout_data[[#ALL],[Focus Score]:[General Impact Score]],MATCH($B3,clean_workout_data[[#HEADERS],[Focus Score]:[General Impact Score]],0)))</f>
        <v>2</v>
      </c>
      <c r="F3" s="46">
        <f t="array" ref="F3">MAX(CHOOSECOLS(clean_workout_data[[#ALL],[Focus Score]:[General Impact Score]],MATCH($B3,clean_workout_data[[#HEADERS],[Focus Score]:[General Impact Score]],0)))</f>
        <v>5</v>
      </c>
      <c r="G3" s="47">
        <f t="array" ref="G3">STDEV(CHOOSECOLS(clean_workout_data[[#ALL],[Focus Score]:[General Impact Score]],MATCH($B3,clean_workout_data[[#HEADERS],[Focus Score]:[General Impact Score]],0)))</f>
        <v>0.6874220098</v>
      </c>
    </row>
    <row r="4">
      <c r="B4" s="44" t="s">
        <v>105</v>
      </c>
      <c r="C4" s="45">
        <f t="array" ref="C4">AVERAGE(CHOOSECOLS(clean_workout_data[[#ALL],[Focus Score]:[General Impact Score]],MATCH($B4,clean_workout_data[[#HEADERS],[Focus Score]:[General Impact Score]],0)))</f>
        <v>3.637254902</v>
      </c>
      <c r="D4" s="46">
        <f t="array" ref="D4">MEDIAN(CHOOSECOLS(clean_workout_data[[#ALL],[Focus Score]:[General Impact Score]],MATCH($B4,clean_workout_data[[#HEADERS],[Focus Score]:[General Impact Score]],0)))</f>
        <v>3.5</v>
      </c>
      <c r="E4" s="46">
        <f t="array" ref="E4">MIN(CHOOSECOLS(clean_workout_data[[#ALL],[Focus Score]:[General Impact Score]],MATCH($B4,clean_workout_data[[#HEADERS],[Focus Score]:[General Impact Score]],0)))</f>
        <v>1.5</v>
      </c>
      <c r="F4" s="46">
        <f t="array" ref="F4">MAX(CHOOSECOLS(clean_workout_data[[#ALL],[Focus Score]:[General Impact Score]],MATCH($B4,clean_workout_data[[#HEADERS],[Focus Score]:[General Impact Score]],0)))</f>
        <v>5</v>
      </c>
      <c r="G4" s="47">
        <f t="array" ref="G4">STDEV(CHOOSECOLS(clean_workout_data[[#ALL],[Focus Score]:[General Impact Score]],MATCH($B4,clean_workout_data[[#HEADERS],[Focus Score]:[General Impact Score]],0)))</f>
        <v>0.8371286124</v>
      </c>
    </row>
    <row r="5">
      <c r="B5" s="44" t="s">
        <v>106</v>
      </c>
      <c r="C5" s="45">
        <f t="array" ref="C5">AVERAGE(CHOOSECOLS(clean_workout_data[[#ALL],[Focus Score]:[General Impact Score]],MATCH($B5,clean_workout_data[[#HEADERS],[Focus Score]:[General Impact Score]],0)))</f>
        <v>4.274509804</v>
      </c>
      <c r="D5" s="46">
        <f t="array" ref="D5">MEDIAN(CHOOSECOLS(clean_workout_data[[#ALL],[Focus Score]:[General Impact Score]],MATCH($B5,clean_workout_data[[#HEADERS],[Focus Score]:[General Impact Score]],0)))</f>
        <v>4.5</v>
      </c>
      <c r="E5" s="46">
        <f t="array" ref="E5">MIN(CHOOSECOLS(clean_workout_data[[#ALL],[Focus Score]:[General Impact Score]],MATCH($B5,clean_workout_data[[#HEADERS],[Focus Score]:[General Impact Score]],0)))</f>
        <v>3</v>
      </c>
      <c r="F5" s="46">
        <f t="array" ref="F5">MAX(CHOOSECOLS(clean_workout_data[[#ALL],[Focus Score]:[General Impact Score]],MATCH($B5,clean_workout_data[[#HEADERS],[Focus Score]:[General Impact Score]],0)))</f>
        <v>5</v>
      </c>
      <c r="G5" s="47">
        <f t="array" ref="G5">STDEV(CHOOSECOLS(clean_workout_data[[#ALL],[Focus Score]:[General Impact Score]],MATCH($B5,clean_workout_data[[#HEADERS],[Focus Score]:[General Impact Score]],0)))</f>
        <v>0.4930894999</v>
      </c>
    </row>
    <row r="6">
      <c r="B6" s="44" t="s">
        <v>107</v>
      </c>
      <c r="C6" s="45">
        <f t="array" ref="C6">AVERAGE(CHOOSECOLS(clean_workout_data[[#ALL],[Focus Score]:[General Impact Score]],MATCH($B6,clean_workout_data[[#HEADERS],[Focus Score]:[General Impact Score]],0)))</f>
        <v>4.166666667</v>
      </c>
      <c r="D6" s="46">
        <f t="array" ref="D6">MEDIAN(CHOOSECOLS(clean_workout_data[[#ALL],[Focus Score]:[General Impact Score]],MATCH($B6,clean_workout_data[[#HEADERS],[Focus Score]:[General Impact Score]],0)))</f>
        <v>4</v>
      </c>
      <c r="E6" s="46">
        <f t="array" ref="E6">MIN(CHOOSECOLS(clean_workout_data[[#ALL],[Focus Score]:[General Impact Score]],MATCH($B6,clean_workout_data[[#HEADERS],[Focus Score]:[General Impact Score]],0)))</f>
        <v>2</v>
      </c>
      <c r="F6" s="46">
        <f t="array" ref="F6">MAX(CHOOSECOLS(clean_workout_data[[#ALL],[Focus Score]:[General Impact Score]],MATCH($B6,clean_workout_data[[#HEADERS],[Focus Score]:[General Impact Score]],0)))</f>
        <v>5</v>
      </c>
      <c r="G6" s="47">
        <f t="array" ref="G6">STDEV(CHOOSECOLS(clean_workout_data[[#ALL],[Focus Score]:[General Impact Score]],MATCH($B6,clean_workout_data[[#HEADERS],[Focus Score]:[General Impact Score]],0)))</f>
        <v>0.7187952884</v>
      </c>
    </row>
    <row r="7">
      <c r="B7" s="44" t="s">
        <v>108</v>
      </c>
      <c r="C7" s="45">
        <f t="array" ref="C7">AVERAGE(CHOOSECOLS(clean_workout_data[[#ALL],[Focus Score]:[General Impact Score]],MATCH($B7,clean_workout_data[[#HEADERS],[Focus Score]:[General Impact Score]],0)))</f>
        <v>4.421568627</v>
      </c>
      <c r="D7" s="46">
        <f t="array" ref="D7">MEDIAN(CHOOSECOLS(clean_workout_data[[#ALL],[Focus Score]:[General Impact Score]],MATCH($B7,clean_workout_data[[#HEADERS],[Focus Score]:[General Impact Score]],0)))</f>
        <v>4.5</v>
      </c>
      <c r="E7" s="46">
        <f t="array" ref="E7">MIN(CHOOSECOLS(clean_workout_data[[#ALL],[Focus Score]:[General Impact Score]],MATCH($B7,clean_workout_data[[#HEADERS],[Focus Score]:[General Impact Score]],0)))</f>
        <v>2.5</v>
      </c>
      <c r="F7" s="46">
        <f t="array" ref="F7">MAX(CHOOSECOLS(clean_workout_data[[#ALL],[Focus Score]:[General Impact Score]],MATCH($B7,clean_workout_data[[#HEADERS],[Focus Score]:[General Impact Score]],0)))</f>
        <v>5</v>
      </c>
      <c r="G7" s="47">
        <f t="array" ref="G7">STDEV(CHOOSECOLS(clean_workout_data[[#ALL],[Focus Score]:[General Impact Score]],MATCH($B7,clean_workout_data[[#HEADERS],[Focus Score]:[General Impact Score]],0)))</f>
        <v>0.6432149642</v>
      </c>
    </row>
    <row r="8">
      <c r="B8" s="44" t="s">
        <v>109</v>
      </c>
      <c r="C8" s="45">
        <f t="array" ref="C8">AVERAGE(CHOOSECOLS(clean_workout_data[[#ALL],[Focus Score]:[General Impact Score]],MATCH($B8,clean_workout_data[[#HEADERS],[Focus Score]:[General Impact Score]],0)))</f>
        <v>3.37254902</v>
      </c>
      <c r="D8" s="46">
        <f t="array" ref="D8">MEDIAN(CHOOSECOLS(clean_workout_data[[#ALL],[Focus Score]:[General Impact Score]],MATCH($B8,clean_workout_data[[#HEADERS],[Focus Score]:[General Impact Score]],0)))</f>
        <v>3.5</v>
      </c>
      <c r="E8" s="46">
        <f t="array" ref="E8">MIN(CHOOSECOLS(clean_workout_data[[#ALL],[Focus Score]:[General Impact Score]],MATCH($B8,clean_workout_data[[#HEADERS],[Focus Score]:[General Impact Score]],0)))</f>
        <v>1</v>
      </c>
      <c r="F8" s="46">
        <f t="array" ref="F8">MAX(CHOOSECOLS(clean_workout_data[[#ALL],[Focus Score]:[General Impact Score]],MATCH($B8,clean_workout_data[[#HEADERS],[Focus Score]:[General Impact Score]],0)))</f>
        <v>4.5</v>
      </c>
      <c r="G8" s="47">
        <f t="array" ref="G8">STDEV(CHOOSECOLS(clean_workout_data[[#ALL],[Focus Score]:[General Impact Score]],MATCH($B8,clean_workout_data[[#HEADERS],[Focus Score]:[General Impact Score]],0)))</f>
        <v>0.7405615252</v>
      </c>
    </row>
    <row r="9">
      <c r="B9" s="44" t="s">
        <v>110</v>
      </c>
      <c r="C9" s="45">
        <f t="array" ref="C9">AVERAGE(CHOOSECOLS(clean_workout_data[[#ALL],[Focus Score]:[General Impact Score]],MATCH($B9,clean_workout_data[[#HEADERS],[Focus Score]:[General Impact Score]],0)))</f>
        <v>2.810457516</v>
      </c>
      <c r="D9" s="46">
        <f t="array" ref="D9">MEDIAN(CHOOSECOLS(clean_workout_data[[#ALL],[Focus Score]:[General Impact Score]],MATCH($B9,clean_workout_data[[#HEADERS],[Focus Score]:[General Impact Score]],0)))</f>
        <v>3</v>
      </c>
      <c r="E9" s="46">
        <f t="array" ref="E9">MIN(CHOOSECOLS(clean_workout_data[[#ALL],[Focus Score]:[General Impact Score]],MATCH($B9,clean_workout_data[[#HEADERS],[Focus Score]:[General Impact Score]],0)))</f>
        <v>1</v>
      </c>
      <c r="F9" s="46">
        <f t="array" ref="F9">MAX(CHOOSECOLS(clean_workout_data[[#ALL],[Focus Score]:[General Impact Score]],MATCH($B9,clean_workout_data[[#HEADERS],[Focus Score]:[General Impact Score]],0)))</f>
        <v>5</v>
      </c>
      <c r="G9" s="47">
        <f t="array" ref="G9">STDEV(CHOOSECOLS(clean_workout_data[[#ALL],[Focus Score]:[General Impact Score]],MATCH($B9,clean_workout_data[[#HEADERS],[Focus Score]:[General Impact Score]],0)))</f>
        <v>0.9961144556</v>
      </c>
    </row>
    <row r="10">
      <c r="B10" s="48" t="s">
        <v>111</v>
      </c>
      <c r="C10" s="49">
        <f t="array" ref="C10">AVERAGE(CHOOSECOLS(clean_workout_data[[#ALL],[Focus Score]:[General Impact Score]],MATCH($B10,clean_workout_data[[#HEADERS],[Focus Score]:[General Impact Score]],0)))</f>
        <v>4.006535948</v>
      </c>
      <c r="D10" s="50">
        <f t="array" ref="D10">MEDIAN(CHOOSECOLS(clean_workout_data[[#ALL],[Focus Score]:[General Impact Score]],MATCH($B10,clean_workout_data[[#HEADERS],[Focus Score]:[General Impact Score]],0)))</f>
        <v>4</v>
      </c>
      <c r="E10" s="50">
        <f t="array" ref="E10">MIN(CHOOSECOLS(clean_workout_data[[#ALL],[Focus Score]:[General Impact Score]],MATCH($B10,clean_workout_data[[#HEADERS],[Focus Score]:[General Impact Score]],0)))</f>
        <v>2</v>
      </c>
      <c r="F10" s="50">
        <f t="array" ref="F10">MAX(CHOOSECOLS(clean_workout_data[[#ALL],[Focus Score]:[General Impact Score]],MATCH($B10,clean_workout_data[[#HEADERS],[Focus Score]:[General Impact Score]],0)))</f>
        <v>5</v>
      </c>
      <c r="G10" s="51">
        <f t="array" ref="G10">STDEV(CHOOSECOLS(clean_workout_data[[#ALL],[Focus Score]:[General Impact Score]],MATCH($B10,clean_workout_data[[#HEADERS],[Focus Score]:[General Impact Score]],0)))</f>
        <v>0.5906312859</v>
      </c>
    </row>
  </sheetData>
  <conditionalFormatting sqref="C3:F10">
    <cfRule type="cellIs" dxfId="6" priority="1" operator="lessThanOrEqual">
      <formula>1</formula>
    </cfRule>
  </conditionalFormatting>
  <conditionalFormatting sqref="C3:F10">
    <cfRule type="cellIs" dxfId="7" priority="2" operator="between">
      <formula>1</formula>
      <formula>2</formula>
    </cfRule>
  </conditionalFormatting>
  <conditionalFormatting sqref="C3:F10">
    <cfRule type="cellIs" dxfId="8" priority="3" operator="between">
      <formula>2</formula>
      <formula>3</formula>
    </cfRule>
  </conditionalFormatting>
  <conditionalFormatting sqref="C3:F10">
    <cfRule type="cellIs" dxfId="9" priority="4" operator="between">
      <formula>3</formula>
      <formula>4</formula>
    </cfRule>
  </conditionalFormatting>
  <conditionalFormatting sqref="C3:F10">
    <cfRule type="cellIs" dxfId="10" priority="5" operator="greaterThan">
      <formula>4</formula>
    </cfRule>
  </conditionalFormatting>
  <conditionalFormatting sqref="G3:G10">
    <cfRule type="cellIs" dxfId="10" priority="6" operator="lessThan">
      <formula>0.5</formula>
    </cfRule>
  </conditionalFormatting>
  <conditionalFormatting sqref="G3:G10">
    <cfRule type="cellIs" dxfId="9" priority="7" operator="between">
      <formula>0.5</formula>
      <formula>0.65</formula>
    </cfRule>
  </conditionalFormatting>
  <conditionalFormatting sqref="G3:G10">
    <cfRule type="cellIs" dxfId="8" priority="8" operator="between">
      <formula>0.65</formula>
      <formula>0.8</formula>
    </cfRule>
  </conditionalFormatting>
  <conditionalFormatting sqref="G3:G10">
    <cfRule type="cellIs" dxfId="7" priority="9" operator="between">
      <formula>0.8</formula>
      <formula>0.95</formula>
    </cfRule>
  </conditionalFormatting>
  <conditionalFormatting sqref="G3:G10">
    <cfRule type="cellIs" dxfId="6" priority="10" operator="greaterThan">
      <formula>0.95</formula>
    </cfRule>
  </conditionalFormatting>
  <drawing r:id="rId1"/>
</worksheet>
</file>